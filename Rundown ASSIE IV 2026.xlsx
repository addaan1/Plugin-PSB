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IE 4 Day 1" sheetId="1" r:id="rId5"/>
    <sheet state="visible" name="ASSIE 4 Day 2" sheetId="2" r:id="rId6"/>
    <sheet state="visible" name="ASSIE 4 Day 3" sheetId="3" r:id="rId7"/>
    <sheet state="hidden" name="Recap Rundown" sheetId="4" r:id="rId8"/>
    <sheet state="visible" name="Biaya Cetak dan BHP" sheetId="5" r:id="rId9"/>
  </sheets>
  <definedNames/>
  <calcPr/>
</workbook>
</file>

<file path=xl/sharedStrings.xml><?xml version="1.0" encoding="utf-8"?>
<sst xmlns="http://schemas.openxmlformats.org/spreadsheetml/2006/main" count="545" uniqueCount="239">
  <si>
    <t xml:space="preserve">  </t>
  </si>
  <si>
    <t>Jum’at, 14 November 2025</t>
  </si>
  <si>
    <t>Industry matching ASSIE IV 2026</t>
  </si>
  <si>
    <t>13.00 - 15.30 Airlangga Business Matching 2025</t>
  </si>
  <si>
    <t>15.30 - 17.00 Opening Ceremony</t>
  </si>
  <si>
    <t xml:space="preserve">                      -Launching Produk Inovasi</t>
  </si>
  <si>
    <t xml:space="preserve">                      -Rebranding AplikasiI E-Commerce TokoUA</t>
  </si>
  <si>
    <t>17.00 - 17.30 Break</t>
  </si>
  <si>
    <t>17.30 - 19.30 Roblox Competition</t>
  </si>
  <si>
    <t>19.30 - 19.45 Break</t>
  </si>
  <si>
    <t>19.45 - 20.45 Accoustic Band Performance</t>
  </si>
  <si>
    <t>Main Atrium Grand City - Surabaya,  Tanggal 6-8 November 2026</t>
  </si>
  <si>
    <t>20.45 - 21.00 Clossing Day 1</t>
  </si>
  <si>
    <t>Stage 2</t>
  </si>
  <si>
    <t>RUANGAN BUSINESS MATCHING</t>
  </si>
  <si>
    <t>STAGE 2</t>
  </si>
  <si>
    <t>10.00 - 10.10 Opening</t>
  </si>
  <si>
    <t>10.10 - 12.40 Workshop Bottega (Start Up ATAVI)</t>
  </si>
  <si>
    <t>Sesuaikan</t>
  </si>
  <si>
    <t>12.40 - 13.40 Break</t>
  </si>
  <si>
    <t>13.40 - 19.40 Mobile Legend E-Sport Competition</t>
  </si>
  <si>
    <t>19.40 - 19.45 Break</t>
  </si>
  <si>
    <t>20.45 - 21.00 Clossing Day 2</t>
  </si>
  <si>
    <t>update</t>
  </si>
  <si>
    <t xml:space="preserve"> </t>
  </si>
  <si>
    <t>10.00 - 10.05 Opening</t>
  </si>
  <si>
    <t>10.05 - 12.35 ASSIE III Got Talent</t>
  </si>
  <si>
    <t>12.35 - 13.05 Break</t>
  </si>
  <si>
    <t>No.</t>
  </si>
  <si>
    <t>13.05 - 15.05 Talkshow Science Behind Glowing Skin</t>
  </si>
  <si>
    <t>15.05 - 17.05 ASSIE III Got Talent</t>
  </si>
  <si>
    <t>17.05 - 17.35 Break</t>
  </si>
  <si>
    <t>17.35 - 18.35 Accoustic Band Performance</t>
  </si>
  <si>
    <t>18.35 - 20.00 Clossing Ceremony</t>
  </si>
  <si>
    <t>Update</t>
  </si>
  <si>
    <t>Jam</t>
  </si>
  <si>
    <t>DUR</t>
  </si>
  <si>
    <t xml:space="preserve">Kegiatan </t>
  </si>
  <si>
    <t>Lighting</t>
  </si>
  <si>
    <t>Audio</t>
  </si>
  <si>
    <t>LED</t>
  </si>
  <si>
    <t>DESKRIPSI</t>
  </si>
  <si>
    <t>TALENT</t>
  </si>
  <si>
    <t>PIC</t>
  </si>
  <si>
    <t>Keterangan</t>
  </si>
  <si>
    <t>Awal</t>
  </si>
  <si>
    <t>Akhir</t>
  </si>
  <si>
    <t>Preparation</t>
  </si>
  <si>
    <t xml:space="preserve">Light On </t>
  </si>
  <si>
    <t>On Stage</t>
  </si>
  <si>
    <t>KV</t>
  </si>
  <si>
    <t>Playback 
Music</t>
  </si>
  <si>
    <t>EO</t>
  </si>
  <si>
    <t>Video Promosi Tenant Peserta IM ASSIE IV 2026</t>
  </si>
  <si>
    <t>Indonesia Raya</t>
  </si>
  <si>
    <t>On Stage + FOH</t>
  </si>
  <si>
    <t>Indonesia Raya Universitas Airlangga</t>
  </si>
  <si>
    <t>MC VO mempersilahlan Tamu VIP dan undangan untuk berdiri, menyanyikan indoesia raya
- Dirigen On Stage
- MC meminta para undangan untuk berdiri dan menyanyikan lagu indonesia raya
- Indonesia Raya Playback dari FOH
*) Selesai</t>
  </si>
  <si>
    <t>Dirigen : Nimas Pasinbis</t>
  </si>
  <si>
    <t>- Mapping persiapan lomba, draft guideline &amp; kebutuhan teknis - proses.
- Besok, publish poster lomba dan video teaser videotron UNAIR.
- Video show: Bumper Opening &amp; Looping selesai; Bumper Speaker &amp; Bumper Acara menunggu data.</t>
  </si>
  <si>
    <t>Opening MC</t>
  </si>
  <si>
    <t>FGD Forum Inkubator Bisnis Jatim</t>
  </si>
  <si>
    <t>Olimnesia Demo Games</t>
  </si>
  <si>
    <t>Wireless 
Mic</t>
  </si>
  <si>
    <t>Lampu Ruangan</t>
  </si>
  <si>
    <t>MC menyapa dan mempersilahkan peserta duduk sesuai tempat duduk</t>
  </si>
  <si>
    <t xml:space="preserve">Siswa-siswi SD-SMA </t>
  </si>
  <si>
    <t>2 Speaker Tripod</t>
  </si>
  <si>
    <t>2 Standing TV</t>
  </si>
  <si>
    <t>EO + StartUp OLIMNESIA
(0851-0271-7040 Dimaz)</t>
  </si>
  <si>
    <t>Ruangan Business Matching
- Backdrop Acara</t>
  </si>
  <si>
    <t>Kebutuhan masih menunggu TnC. konfirmasi jumlah meja dan kursi</t>
  </si>
  <si>
    <t>Kebutuhan untuk saat ini masih berupa barang pribadi yang akan dibawa sendiri oleh teman-teman Olimnesia pada hari H.</t>
  </si>
  <si>
    <t>MC greeting audience, mention VIP, announce event knowledge</t>
  </si>
  <si>
    <t>PASINBIS
UNAIR</t>
  </si>
  <si>
    <t>Souvenir</t>
  </si>
  <si>
    <t>Hymne Airlangga</t>
  </si>
  <si>
    <t>10 meja IBM skirting hitam &amp; 20 kursi futura skirting hitam (Model U-Shape)</t>
  </si>
  <si>
    <t>Materi Video Hymne Airlangga</t>
  </si>
  <si>
    <t>-Hymne Airlangga Playback dari FOH
*) Selesai
- Dirigen kembali ke tempat</t>
  </si>
  <si>
    <t>MC : Elni Nainggolan</t>
  </si>
  <si>
    <t>Cetak</t>
  </si>
  <si>
    <t>No</t>
  </si>
  <si>
    <t>Nama</t>
  </si>
  <si>
    <t>Kuantitas</t>
  </si>
  <si>
    <t>Harga Satuan</t>
  </si>
  <si>
    <t>Total</t>
  </si>
  <si>
    <t>MediTea Sachet</t>
  </si>
  <si>
    <t>Bumper Opening Acara</t>
  </si>
  <si>
    <t>Light Attractive</t>
  </si>
  <si>
    <t>Materi Bumper Opening</t>
  </si>
  <si>
    <t>- Playback Video Bumper Opening
*) Selesai</t>
  </si>
  <si>
    <t>BEM UNAIR</t>
  </si>
  <si>
    <t>Bumper mulai di produksi, deadline   30 september 2026</t>
  </si>
  <si>
    <t>GodieBag</t>
  </si>
  <si>
    <t>Sativa Kit (sikat, Sabun, dan Pasta)</t>
  </si>
  <si>
    <t xml:space="preserve">Light Attractive </t>
  </si>
  <si>
    <t>ID Card</t>
  </si>
  <si>
    <t>Wireless Mic</t>
  </si>
  <si>
    <t>- MC greeting audience, mention VIP, announce event knowledge</t>
  </si>
  <si>
    <t>Kontak person MC</t>
  </si>
  <si>
    <t>Materi Bumper Opening Acara</t>
  </si>
  <si>
    <t>EO &amp; MC</t>
  </si>
  <si>
    <t>Lomba 3 Line Dance Competition</t>
  </si>
  <si>
    <t>Diabetkol</t>
  </si>
  <si>
    <t>Penutupan FGD Forum Inkubator Bisnis Jatim</t>
  </si>
  <si>
    <t xml:space="preserve">Pembacaan Doa </t>
  </si>
  <si>
    <t>Katalog Produk</t>
  </si>
  <si>
    <t>LightOn</t>
  </si>
  <si>
    <t>PASINBIS UNAIR</t>
  </si>
  <si>
    <t>Kaos IM ASSIE IV</t>
  </si>
  <si>
    <t>Bumper Pembaca Doa (No Audio)</t>
  </si>
  <si>
    <t xml:space="preserve">- MC mempersilahkan Pak Bayuny selaku pembaca doa untuk maju dan memimpin doa
- (Bumper Pembaca Doa Tanpa Audio)
*) Pembacaan doa selesai
-MC berterima kasih dan mempersilahkan Pembaca doa untuk kembali ke tempat
</t>
  </si>
  <si>
    <t>Brosur Lipat</t>
  </si>
  <si>
    <t>Menggandeng ILDI Jatim untuk mendapatkan sertifikst Line Dance</t>
  </si>
  <si>
    <t>Body Lotion SCT</t>
  </si>
  <si>
    <t>Katalog IM (A5)</t>
  </si>
  <si>
    <t>Beauty Class by Studio Inkubator MUA</t>
  </si>
  <si>
    <t xml:space="preserve">MC menyapa dan mempersilahkan peserta duduk sesuai tempat duduk
</t>
  </si>
  <si>
    <t>Break</t>
  </si>
  <si>
    <t>Umum</t>
  </si>
  <si>
    <t>Katalog BM (A5)</t>
  </si>
  <si>
    <t>Sativa 120gram</t>
  </si>
  <si>
    <r>
      <rPr>
        <rFont val="Arial"/>
        <color theme="1"/>
        <sz val="14.0"/>
      </rPr>
      <t xml:space="preserve">AHMAD FADLUR RAHMAN BAYUNY, S.E.I., M.Sc.IBF., Ph.D.
(foto : </t>
    </r>
    <r>
      <rPr>
        <rFont val="Arial"/>
        <color rgb="FF1155CC"/>
        <sz val="14.0"/>
        <u/>
      </rPr>
      <t>https://drive.google.com/file/d/1wkCSiFioe7eUU8u-2DSgzUxJsLnB6Bxk/view?usp=drive_link)</t>
    </r>
  </si>
  <si>
    <r>
      <rPr>
        <rFont val="Arial"/>
        <color rgb="FF1F1F1F"/>
        <sz val="14.0"/>
      </rPr>
      <t>StartUp Inkubator MUA  (</t>
    </r>
    <r>
      <rPr>
        <rFont val="Arial"/>
        <color rgb="FF000000"/>
        <sz val="14.0"/>
      </rPr>
      <t>+62 857-0834-2811</t>
    </r>
    <r>
      <rPr>
        <rFont val="Arial"/>
        <color rgb="FF1F1F1F"/>
        <sz val="14.0"/>
      </rPr>
      <t xml:space="preserve"> / PIC startup)</t>
    </r>
  </si>
  <si>
    <t>MediTea Kapsul</t>
  </si>
  <si>
    <t>Butuh 20 meja dan 40 kursi untuk peserta
(konfirmasi ke GC untuk kebutuhannya)
diubah ke hari sabtu</t>
  </si>
  <si>
    <t xml:space="preserve">sudah menghubungi by WA , belum di jawab. Sudah di jawab, menunggu update diskusi dari teman2 MUA terkait kebutuhan nya </t>
  </si>
  <si>
    <t>link rekap video tenant peserta IM ASSSIE IV</t>
  </si>
  <si>
    <t xml:space="preserve">Kopi Booth </t>
  </si>
  <si>
    <t>Jaket VIP</t>
  </si>
  <si>
    <t>UNAIR</t>
  </si>
  <si>
    <t>Podium</t>
  </si>
  <si>
    <t>catatan bu nia ......( nando )</t>
  </si>
  <si>
    <t xml:space="preserve">ayo bermain coding </t>
  </si>
  <si>
    <t>Light on</t>
  </si>
  <si>
    <t>On stage</t>
  </si>
  <si>
    <t>StartUp heztek coding (Mbak Heni +62 896-9926-4015 / PIC StartUp)</t>
  </si>
  <si>
    <t>peserta dari mereka sendiri ( starup) sudah menghubungi by WA , belum di jawab. Kebutuhan tidak perlu peralatan khusus, menyesuaikan ASSIE tahun lalu</t>
  </si>
  <si>
    <t>Tari Pembuka 
Gandrung dari UKM Tari Unair</t>
  </si>
  <si>
    <t>*) Playback Lagu Tari Gandrung, penari naik ke atas panggung</t>
  </si>
  <si>
    <t>Tari Gandrung On Stage</t>
  </si>
  <si>
    <t>Sambutan Ketua PASINBIS</t>
  </si>
  <si>
    <r>
      <rPr>
        <rFont val="Arial"/>
        <i/>
        <color theme="1"/>
        <sz val="14.0"/>
      </rPr>
      <t xml:space="preserve">
</t>
    </r>
    <r>
      <rPr>
        <rFont val="Arial"/>
        <color theme="1"/>
        <sz val="14.0"/>
      </rPr>
      <t>Talkshow BPOM “UMKM Aman, UMKM Naik Kelas : Kenali perizinan, keamanan pangan, dan standar mutu produk agar usahamu makin dipercaya dan siap bersaing”</t>
    </r>
  </si>
  <si>
    <t>Light Focus</t>
  </si>
  <si>
    <t>Bumper Sambutan Ketua Panitia</t>
  </si>
  <si>
    <t>- MC mempersilahkan  Prof. Nafik selaku Ketua PASINBIS untuk naik ke atas panggung
- Sambutan Ketua PASINBIS On Stage
*) Selesai
-MC berterima kasih dan mempersilahkan Ketua PASINBIS kembali ke tempat</t>
  </si>
  <si>
    <t>2 Wireless Mic</t>
  </si>
  <si>
    <t xml:space="preserve">
'Mengundang UMKM seluruh Surabaya, Mengundang 150 UMKM Jatim (dapat sertifikat dari Unair dan BPOM) dan mahasiswa unair ber-SKP</t>
  </si>
  <si>
    <t>BPOM Surabaya</t>
  </si>
  <si>
    <t>PASINBIS 
UNAIR</t>
  </si>
  <si>
    <r>
      <rPr>
        <rFont val="Arial"/>
        <color theme="1"/>
        <sz val="14.0"/>
      </rPr>
      <t xml:space="preserve">Prof. Dr. Muhammad Nafik  Hadi Ryandono, S.E., M.Si. (Foto : </t>
    </r>
    <r>
      <rPr>
        <rFont val="Arial"/>
        <color rgb="FF1155CC"/>
        <sz val="14.0"/>
        <u/>
      </rPr>
      <t>https://drive.google.com/file/d/1c6LfwZzFEBlUunolX3GQZtJO_Qh73PqJ/view?usp=drive_link</t>
    </r>
    <r>
      <rPr>
        <rFont val="Arial"/>
        <color theme="1"/>
        <sz val="14.0"/>
      </rPr>
      <t xml:space="preserve"> ) </t>
    </r>
  </si>
  <si>
    <r>
      <rPr>
        <rFont val="Arial"/>
        <b/>
        <color theme="1"/>
        <sz val="14.0"/>
      </rPr>
      <t>Main Stage:</t>
    </r>
    <r>
      <rPr>
        <rFont val="Arial"/>
        <color theme="1"/>
        <sz val="14.0"/>
      </rPr>
      <t xml:space="preserve">
Standby 2 wireless mic untuk floor</t>
    </r>
  </si>
  <si>
    <t>Kelengkapan:
- Foto Narasumber
- Foto Moderator
- Tema / Judul Acaranya</t>
  </si>
  <si>
    <t>Cloasing Fokus Main Stage</t>
  </si>
  <si>
    <t>Jaket VIP 
1. rektor ( 1) 
2. wakil rektor ( 4)
3. ketua pasinbis 1 
4. ketua BPOM 1
5. pak dirjen 1
6. sekretaris univ 1
7. Senat 1
Total : 11 Jaket VIP</t>
  </si>
  <si>
    <t>Lomba 2 (ASSIE IV Got Talent) - Final</t>
  </si>
  <si>
    <t>Final Acara</t>
  </si>
  <si>
    <t>EO &amp; PASINBIS</t>
  </si>
  <si>
    <t xml:space="preserve">Break </t>
  </si>
  <si>
    <t>Band Prepare Equipment On Stage</t>
  </si>
  <si>
    <t xml:space="preserve">Sambutan Rektor Unair </t>
  </si>
  <si>
    <t>Bumper Wakil Rektor/Rektor Unair</t>
  </si>
  <si>
    <t xml:space="preserve">- MC mempersilahkan  Rektor untuk naik ke atas panggung
- Sambutan Rektor Unair On Stage
*) Selesai
- MC berterima kasih dan mempersilahkan Wakil Rektor Unair kembali ke tempat </t>
  </si>
  <si>
    <r>
      <rPr>
        <rFont val="Arial"/>
        <color rgb="FF1F1F1F"/>
        <sz val="14.0"/>
      </rPr>
      <t xml:space="preserve">- Rektor : Prof. Dr. Mohammad Madyan, S.E., M.Si., M.Fin. (foto : </t>
    </r>
    <r>
      <rPr>
        <rFont val="Arial"/>
        <color rgb="FF1155CC"/>
        <sz val="14.0"/>
        <u/>
      </rPr>
      <t>https://drive.google.com/file/d/1HMz_fErSJz9GV4O1n0nrD9tmfuZnuQDs/view?usp=drive_link</t>
    </r>
    <r>
      <rPr>
        <rFont val="Arial"/>
        <color rgb="FF1F1F1F"/>
        <sz val="14.0"/>
      </rPr>
      <t xml:space="preserve">)
- Warek : Prof. Dr. Drs. Koko Srimulyo, M.Si. (Foto : </t>
    </r>
    <r>
      <rPr>
        <rFont val="Arial"/>
        <color rgb="FF1155CC"/>
        <sz val="14.0"/>
        <u/>
      </rPr>
      <t>https://drive.google.com/file/d/1dWAaD0AZKSe88fyCY2MfbYiG-ZtdNh8f/view?usp=drive_link)</t>
    </r>
  </si>
  <si>
    <t>Band Akustik</t>
  </si>
  <si>
    <t>Band On Stage</t>
  </si>
  <si>
    <t>MC Opening Closing Session</t>
  </si>
  <si>
    <t>EO &amp; 
PASINBIS</t>
  </si>
  <si>
    <t>Laporan Panitia</t>
  </si>
  <si>
    <t>Talkshow PUI-PT SCT : Dari Riset, jadi Kosmetik : Kenali Produk Kosmetik Inovatif hasil penelitian Universitas Airlangga Bersama PUI-PT Skin and Cosmetic Technology</t>
  </si>
  <si>
    <t>PASINBIS</t>
  </si>
  <si>
    <t xml:space="preserve">Materi </t>
  </si>
  <si>
    <t>video recap hari 1-3</t>
  </si>
  <si>
    <t>Mengundang: mahasiswa UNAIR ber SKP. Pasinbis bersurat ke Kemahasiswaan untuk didaftarkan SKP. (Disiapkan Bumper dan backgroud acara). Serta untuk poster acara</t>
  </si>
  <si>
    <t>Fakultas Farmasi UNIAR</t>
  </si>
  <si>
    <t>Main Stage (Meja, Kursi)</t>
  </si>
  <si>
    <t>Sambutan Ketua Pasinbis</t>
  </si>
  <si>
    <t>Sambutan Dirjen Ristekdikti 
dan Key Note Speech</t>
  </si>
  <si>
    <t>Bumper Dirjen Ristekdikti</t>
  </si>
  <si>
    <t>Pengumuman Pemenang</t>
  </si>
  <si>
    <t xml:space="preserve">KV </t>
  </si>
  <si>
    <t>Piala dan mockup juara</t>
  </si>
  <si>
    <t xml:space="preserve">- MC mempersilahkan Dirjen untuk naik ke atas panggung
- Sambutan Dirjen On Stage
- Key Note Speech
*) Selesai
- MC berterima kasih dan mempersilahkan Dirjen kembali ke tempat </t>
  </si>
  <si>
    <t>PIC BEM (Farhan +62 896-7590-0940)</t>
  </si>
  <si>
    <t>Mortar Convetti Gun &amp; CO2 Gass</t>
  </si>
  <si>
    <t>sudah menghubungi by WA , belum di jawab</t>
  </si>
  <si>
    <t>pengumuman pemenang
- Booth Pengunjung Terbanyak (1 &amp; 2)
- Booth Penjualan Terbanyak (1 &amp; 2)
- Lomba Mobile Legend (1-3)
- Lomba ASSIE Got Talent (1-3)
- Lomba Line Dance (1 - 3)</t>
  </si>
  <si>
    <t>Closing Ceremony</t>
  </si>
  <si>
    <t>Sambutan Kepala BPOM 
dan Key Note Speech</t>
  </si>
  <si>
    <t>Jam 13.00 Business Matching</t>
  </si>
  <si>
    <t>Bumper Sambutan Kepala BPOM</t>
  </si>
  <si>
    <t>Video Profil Peserta Pameran</t>
  </si>
  <si>
    <t>- MC mempersilahkan Kepala BPOM naik ke atas panggung
- Sambutan Kepala BPOM On Stage
- Key Note Speech
*) Selesai
- MC berterima kasih dan mempersilahkan Kepala BPOM kembali ke tempat</t>
  </si>
  <si>
    <r>
      <rPr>
        <rFont val="Arial"/>
        <color rgb="FF1F1F1F"/>
        <sz val="14.0"/>
      </rPr>
      <t xml:space="preserve">Prof. dr. Taruna Ikrar, M.Biomed., Ph.D. (foto : </t>
    </r>
    <r>
      <rPr>
        <rFont val="Arial"/>
        <color rgb="FF1155CC"/>
        <sz val="14.0"/>
        <u/>
      </rPr>
      <t>https://drive.google.com/file/d/19s-ouB1PwAUxdw7apPGLPMtLVQJF0vXw/view?usp=drive_link)</t>
    </r>
  </si>
  <si>
    <t>Business Matching 2026
- Opening
- Sambutan
- Pembacaan Mekanisme</t>
  </si>
  <si>
    <t>Bumper Sambutan
KV</t>
  </si>
  <si>
    <t>- MC Present opening Business Matching 
*) Selesai</t>
  </si>
  <si>
    <t>EO MC &amp; PASINBIS</t>
  </si>
  <si>
    <t>Ada penyesuaian, sambutan dari kepala bpom nya langsung</t>
  </si>
  <si>
    <t>Podium 
- Setelah Opening tamu akan diarahkan ke ruangan Business Matching 2026</t>
  </si>
  <si>
    <t>Business Matching 2026</t>
  </si>
  <si>
    <t>Opening Ceremony</t>
  </si>
  <si>
    <t>No Audio Speaker</t>
  </si>
  <si>
    <t>Materi Bumper Opening Ceremony</t>
  </si>
  <si>
    <r>
      <rPr>
        <rFont val="Arial"/>
        <color theme="1"/>
        <sz val="14.0"/>
      </rPr>
      <t xml:space="preserve">- MC mengundang Wakil Rektor Unair, Ketua PASINBIS dan tamu VIP untuk naik ke atas panggung
- Ceremony Opening Menggunankan </t>
    </r>
    <r>
      <rPr>
        <rFont val="Arial"/>
        <b/>
        <color theme="1"/>
        <sz val="14.0"/>
      </rPr>
      <t xml:space="preserve">Totem Sirine
</t>
    </r>
    <r>
      <rPr>
        <rFont val="Arial"/>
        <color theme="1"/>
        <sz val="14.0"/>
      </rPr>
      <t xml:space="preserve">
*) Selesai
- MC Mengarahkan untuk berfoto bersama
- MC Mempersilahkan Rektor Unair, Wakil Rektor Unair, Ketua PASINBIS untuk kembali ke tempat
- MC Clossing</t>
    </r>
  </si>
  <si>
    <t>Totem sirine on stage, (Mortar Convetti Gun &amp; CO2 Gass)</t>
  </si>
  <si>
    <t>- Rektor 
- Pak Nafik
- Kementerian
- Ketua BPOM
- Peneliti ... org</t>
  </si>
  <si>
    <t xml:space="preserve">    </t>
  </si>
  <si>
    <t>15 meja IBM skirting hitam &amp; 45 kursi futura skirting hitam</t>
  </si>
  <si>
    <r>
      <rPr>
        <rFont val="Arial"/>
        <color theme="1"/>
        <sz val="14.0"/>
      </rPr>
      <t xml:space="preserve">Launching Produk Inovasi
1. Produk Inovasi Garam SPA (FPK) - Prof Amin Alamsjah
2. Produk Inovasi SAINS4SKIN Q10 Rejuvenate &amp; Calming Body Wash dan SAINS4SKIN Allantoin-Coco Soothing Bar Soap for Moist &amp; Glow Skin (PUI PT SCT FF)
3. Produk Inovasi Arrasyi-Kid (FIB) - Pak David Segoh </t>
    </r>
    <r>
      <rPr>
        <rFont val="Arial"/>
        <color rgb="FF1155CC"/>
        <sz val="14.0"/>
        <u/>
      </rPr>
      <t>Arrasyi-Kid</t>
    </r>
    <r>
      <rPr>
        <rFont val="Arial"/>
        <color theme="1"/>
        <sz val="14.0"/>
      </rPr>
      <t xml:space="preserve">
4. Produk Inovasi Airbilinest design terbaru (FK) - Dokter Mahendra </t>
    </r>
    <r>
      <rPr>
        <rFont val="Arial"/>
        <color rgb="FF1155CC"/>
        <sz val="14.0"/>
        <u/>
      </rPr>
      <t>Airbilinest</t>
    </r>
  </si>
  <si>
    <t>Lomba 2 (ASSIE GOT TALENT)</t>
  </si>
  <si>
    <t>Screen Capture Lomba</t>
  </si>
  <si>
    <t>Sudah mengundang SMA se Jatim</t>
  </si>
  <si>
    <t xml:space="preserve">Materi Peserta </t>
  </si>
  <si>
    <t>Materi Launching Produk Inovasi</t>
  </si>
  <si>
    <t xml:space="preserve">- MC Present Launching Produk Inovasi
- MC Mengundang Masing-masing pemilik produk inovasi dan mitra untuk maju ke 
panggung
- MC Mengundang Rektor/Wakil Rektor untuk naik ke atas panggung
- Launching Produk Inovasi
- MC mengarahkan untuk foto bersama
*) Selesai
- MC berterima kasih dan mempersilahkan tamu undangan kembali ke tempat 
- Pembukaan dan Launching Selesai Tamu Undangan VIP dan Undangan Umum dipersilahkan mengunjungi Booth Pameran 
</t>
  </si>
  <si>
    <r>
      <rPr>
        <rFont val="Arial"/>
        <color theme="1"/>
        <sz val="14.0"/>
      </rPr>
      <t>Meja IBM &amp; Kain Hitam Penutup Produk. (</t>
    </r>
    <r>
      <rPr>
        <rFont val="Arial"/>
        <b/>
        <color theme="1"/>
        <sz val="14.0"/>
      </rPr>
      <t xml:space="preserve">NOTE : </t>
    </r>
    <r>
      <rPr>
        <rFont val="Arial"/>
        <color theme="1"/>
        <sz val="14.0"/>
      </rPr>
      <t>jumlah meja &amp; kain penutup masih menunggu jumlah produk yg di launching) ada poster sabun sepaket di booth Pasinbis. Untuk Anggrek Airlangga akan dibuatkan totem sendiri berupa Triplek dengan detail Anggreknya</t>
    </r>
  </si>
  <si>
    <t>minta dokumentasi foto dan video produk yang akan dilaunching. 
- foto produk / video
- Deskripsi Produk 
- Foto Peneliti
- Judul Produk
1. Garam SPA (FPK) - masih follow up ke prof amin dan wadek 3
2. Anggrek Airlangga (FST) - belum menjawab, sudah di wa
3. Paket Skincare (PUI PT SCT FF) - sudah dilaunching pak rektor
4. Arrasyi-Kid (FIB) - Bisa dan berkenan, kita surati
5. Airbilinest design terbaru (FK) - Bisa dan berkenan, kita surati</t>
  </si>
  <si>
    <t>Industri Matching 2026
- Opening
- Sambutan
- Pembacaan Mekanisme</t>
  </si>
  <si>
    <t>- MC Present opening industri matching 
*) Selesai</t>
  </si>
  <si>
    <t>Band on stage</t>
  </si>
  <si>
    <t>Podium 
- Setelah Opening tamu akan diarahkan ke ruangan industri matching 2026</t>
  </si>
  <si>
    <t>Ada rundown sendiri dari mbak Nimas</t>
  </si>
  <si>
    <t>LOMBA 1 (MOBILE LEGEND)</t>
  </si>
  <si>
    <t>Closing</t>
  </si>
  <si>
    <t>Dibuatkan kegiatan untuk meramaikan acara, atau bisa dilanjutkan acara ......</t>
  </si>
  <si>
    <t>Bekerja Sama dengan ESI Surabaya</t>
  </si>
  <si>
    <t>EO &amp; ESI</t>
  </si>
  <si>
    <t>Jumat, 25 Sept 2026, deadline redaksi lomba</t>
  </si>
  <si>
    <t>poster sudah update. Akan dipublish di media sosial pada tanggal 1 Oktober 2026</t>
  </si>
  <si>
    <t>Closing Day 1</t>
  </si>
  <si>
    <t>- MC Clossing
*) Selesai</t>
  </si>
  <si>
    <t>Dibuatkan kegiatan untuk meramaikan acara, atau bisa dilanjutkan acara Mobile Legend dengan kategori Umum dan Siswa</t>
  </si>
  <si>
    <t xml:space="preserve">catatan : mengundang BPOM sejawa Timur untuk hadir dalam undangan 1 orang </t>
  </si>
  <si>
    <t>catatan : 
1. bumper opening (logo unair, logo pasinbis, lomba apa aja, diikuti oleh puluhan startup, fakultas unair, dan unit kerja di universitas airlangga)
2. Poster Lomba, kurang google form AGT jika sudah langsung launching share ke media (1 oktober 2026)
3. Video Startup (profil) untuk ditampilkan</t>
  </si>
  <si>
    <t xml:space="preserve">   </t>
  </si>
  <si>
    <t>- Mapping persiapan lomba, draft guideline &amp; kebutuhan teknis - proses.
- Publish poster lomba dan video teaser videotron UNAIR.
- Video show: Bumper Opening &amp; Looping selesai; Bumper Speaker &amp; Bumper Acara menunggu data.</t>
  </si>
  <si>
    <t>-Pengajuan penayangan videotron ke PHMP &amp; AE.
-Pembuatan TOR.
-Koordinasi dengan PIC UKM Tari untuk penampilan ASSIE.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</si>
</sst>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dd\,\ d\ mmmm\ yyyy"/>
    <numFmt numFmtId="165" formatCode="[$-10470]hh:mm"/>
    <numFmt numFmtId="166" formatCode="m/d/yyyy\ h:mm:ss"/>
    <numFmt numFmtId="167" formatCode="[$Rp]#,##0"/>
    <numFmt numFmtId="168" formatCode="m/d/yyyy h:mm:ss"/>
  </numFmts>
  <fonts count="23">
    <font>
      <sz val="10.0"/>
      <color rgb="FF000000"/>
      <name val="Arial"/>
      <scheme val="minor"/>
    </font>
    <font>
      <sz val="10.0"/>
      <color theme="1"/>
      <name val="Arial"/>
    </font>
    <font>
      <b/>
      <sz val="11.0"/>
      <color rgb="FF000000"/>
      <name val="Arial"/>
    </font>
    <font>
      <sz val="11.0"/>
      <color rgb="FF000000"/>
      <name val="Arial"/>
    </font>
    <font>
      <sz val="11.0"/>
      <color theme="1"/>
      <name val="Arial"/>
    </font>
    <font>
      <b/>
      <sz val="22.0"/>
      <color theme="1"/>
      <name val="Arial"/>
    </font>
    <font>
      <sz val="14.0"/>
      <color theme="1"/>
      <name val="Arial"/>
    </font>
    <font>
      <b/>
      <sz val="20.0"/>
      <color theme="1"/>
      <name val="Arial"/>
    </font>
    <font>
      <b/>
      <sz val="10.0"/>
      <color rgb="FF000000"/>
      <name val="Arial"/>
    </font>
    <font>
      <color theme="1"/>
      <name val="Arial"/>
      <scheme val="minor"/>
    </font>
    <font>
      <b/>
      <sz val="14.0"/>
      <color rgb="FFFFFFFF"/>
      <name val="Arial"/>
    </font>
    <font/>
    <font>
      <sz val="14.0"/>
      <color rgb="FF1F1F1F"/>
      <name val="Arial"/>
    </font>
    <font>
      <b/>
      <color theme="1"/>
      <name val="Arial"/>
      <scheme val="minor"/>
    </font>
    <font>
      <sz val="12.0"/>
      <color theme="1"/>
      <name val="Arial"/>
    </font>
    <font>
      <sz val="19.0"/>
      <color theme="1"/>
      <name val="Arial"/>
      <scheme val="minor"/>
    </font>
    <font>
      <u/>
      <sz val="14.0"/>
      <color theme="1"/>
      <name val="Arial"/>
    </font>
    <font>
      <sz val="12.0"/>
      <color theme="1"/>
      <name val="Arial"/>
      <scheme val="minor"/>
    </font>
    <font>
      <sz val="16.0"/>
      <color theme="1"/>
      <name val="Arial"/>
    </font>
    <font>
      <u/>
      <sz val="14.0"/>
      <color rgb="FF1F1F1F"/>
      <name val="Arial"/>
    </font>
    <font>
      <sz val="17.0"/>
      <color theme="1"/>
      <name val="Arial"/>
    </font>
    <font>
      <u/>
      <sz val="14.0"/>
      <color theme="1"/>
      <name val="Arial"/>
    </font>
    <font>
      <sz val="14.0"/>
      <color theme="1"/>
      <name val="Arial"/>
      <scheme val="minor"/>
    </font>
  </fonts>
  <fills count="13">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B6D7A8"/>
        <bgColor rgb="FFB6D7A8"/>
      </patternFill>
    </fill>
    <fill>
      <patternFill patternType="solid">
        <fgColor rgb="FFD9D9D9"/>
        <bgColor rgb="FFD9D9D9"/>
      </patternFill>
    </fill>
    <fill>
      <patternFill patternType="solid">
        <fgColor rgb="FFE69138"/>
        <bgColor rgb="FFE69138"/>
      </patternFill>
    </fill>
    <fill>
      <patternFill patternType="solid">
        <fgColor rgb="FFFF00FF"/>
        <bgColor rgb="FFFF00FF"/>
      </patternFill>
    </fill>
    <fill>
      <patternFill patternType="solid">
        <fgColor rgb="FFD9EAD3"/>
        <bgColor rgb="FFD9EAD3"/>
      </patternFill>
    </fill>
    <fill>
      <patternFill patternType="solid">
        <fgColor rgb="FFC9DAF8"/>
        <bgColor rgb="FFC9DAF8"/>
      </patternFill>
    </fill>
    <fill>
      <patternFill patternType="solid">
        <fgColor rgb="FFFF9900"/>
        <bgColor rgb="FFFF9900"/>
      </patternFill>
    </fill>
    <fill>
      <patternFill patternType="solid">
        <fgColor rgb="FFFCE5CD"/>
        <bgColor rgb="FFFCE5CD"/>
      </patternFill>
    </fill>
  </fills>
  <borders count="23">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top style="thin">
        <color rgb="FF000000"/>
      </top>
    </border>
    <border>
      <left style="thin">
        <color rgb="FF000000"/>
      </left>
      <right/>
      <top style="thin">
        <color rgb="FF000000"/>
      </top>
      <bottom/>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style="thin">
        <color rgb="FF000000"/>
      </left>
      <right/>
      <bottom style="thin">
        <color rgb="FF000000"/>
      </bottom>
    </border>
    <border>
      <left style="thin">
        <color rgb="FF000000"/>
      </left>
      <right/>
      <top/>
      <bottom/>
    </border>
    <border>
      <left style="thin">
        <color rgb="FF000000"/>
      </left>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border>
    <border>
      <right style="thin">
        <color rgb="FF000000"/>
      </right>
      <top style="thin">
        <color rgb="FF000000"/>
      </top>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top style="thin">
        <color rgb="FF000000"/>
      </top>
    </border>
    <border>
      <left/>
      <right/>
      <top/>
      <bottom/>
    </border>
    <border>
      <left style="thin">
        <color rgb="FF000000"/>
      </left>
      <right/>
    </border>
    <border>
      <left style="thin">
        <color rgb="FF000000"/>
      </left>
    </border>
    <border>
      <left style="thin">
        <color rgb="FF000000"/>
      </left>
      <right/>
      <bottom/>
    </border>
    <border>
      <left style="thin">
        <color rgb="FF000000"/>
      </left>
      <bottom/>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left"/>
    </xf>
    <xf borderId="0" fillId="0" fontId="1" numFmtId="0" xfId="0" applyAlignment="1" applyFont="1">
      <alignment readingOrder="0"/>
    </xf>
    <xf borderId="2" fillId="0" fontId="3" numFmtId="0" xfId="0" applyAlignment="1" applyBorder="1" applyFont="1">
      <alignment horizontal="left"/>
    </xf>
    <xf borderId="2" fillId="0" fontId="4" numFmtId="0" xfId="0" applyBorder="1" applyFont="1"/>
    <xf borderId="0" fillId="0" fontId="5" numFmtId="0" xfId="0" applyAlignment="1" applyFont="1">
      <alignment horizontal="center"/>
    </xf>
    <xf borderId="0" fillId="0" fontId="6" numFmtId="0" xfId="0" applyAlignment="1" applyFont="1">
      <alignment shrinkToFit="0" wrapText="1"/>
    </xf>
    <xf borderId="3" fillId="0" fontId="3" numFmtId="0" xfId="0" applyAlignment="1" applyBorder="1" applyFont="1">
      <alignment horizontal="left"/>
    </xf>
    <xf borderId="0" fillId="0" fontId="7" numFmtId="0" xfId="0" applyAlignment="1" applyFont="1">
      <alignment horizontal="center"/>
    </xf>
    <xf borderId="0" fillId="0" fontId="3" numFmtId="0" xfId="0" applyAlignment="1" applyFont="1">
      <alignment horizontal="left"/>
    </xf>
    <xf borderId="0" fillId="0" fontId="1" numFmtId="0" xfId="0" applyAlignment="1" applyFont="1">
      <alignment shrinkToFit="0" wrapText="1"/>
    </xf>
    <xf borderId="0" fillId="0" fontId="7" numFmtId="0" xfId="0" applyAlignment="1" applyFont="1">
      <alignment horizontal="center" readingOrder="0"/>
    </xf>
    <xf borderId="1" fillId="2" fontId="2" numFmtId="164" xfId="0" applyAlignment="1" applyBorder="1" applyFill="1" applyFont="1" applyNumberFormat="1">
      <alignment horizontal="left"/>
    </xf>
    <xf borderId="0" fillId="0" fontId="8" numFmtId="0" xfId="0" applyFont="1"/>
    <xf borderId="0" fillId="0" fontId="1" numFmtId="20" xfId="0" applyFont="1" applyNumberFormat="1"/>
    <xf borderId="0" fillId="0" fontId="9" numFmtId="0" xfId="0" applyAlignment="1" applyFont="1">
      <alignment shrinkToFit="0" wrapText="1"/>
    </xf>
    <xf borderId="0" fillId="0" fontId="3" numFmtId="0" xfId="0" applyFont="1"/>
    <xf borderId="0" fillId="0" fontId="1" numFmtId="165" xfId="0" applyFont="1" applyNumberFormat="1"/>
    <xf borderId="4" fillId="3" fontId="10" numFmtId="0" xfId="0" applyAlignment="1" applyBorder="1" applyFill="1" applyFont="1">
      <alignment horizontal="center" vertical="center"/>
    </xf>
    <xf borderId="5" fillId="3" fontId="10" numFmtId="20" xfId="0" applyAlignment="1" applyBorder="1" applyFill="1" applyFont="1" applyNumberFormat="1">
      <alignment horizontal="center" vertical="center"/>
    </xf>
    <xf borderId="5" fillId="3" fontId="10" numFmtId="0" xfId="0" applyAlignment="1" applyBorder="1" applyFill="1" applyFont="1">
      <alignment horizontal="center" vertical="center"/>
    </xf>
    <xf borderId="6" fillId="3" fontId="10" numFmtId="0" xfId="0" applyAlignment="1" applyBorder="1" applyFill="1" applyFont="1">
      <alignment horizontal="center" vertical="center"/>
    </xf>
    <xf borderId="7" fillId="3" fontId="10" numFmtId="0" xfId="0" applyAlignment="1" applyBorder="1" applyFill="1" applyFont="1">
      <alignment horizontal="center" vertical="center"/>
    </xf>
    <xf borderId="1" fillId="3" fontId="10" numFmtId="165" xfId="0" applyAlignment="1" applyBorder="1" applyFill="1" applyFont="1" applyNumberFormat="1">
      <alignment horizontal="center" vertical="center"/>
    </xf>
    <xf borderId="6" fillId="3" fontId="10" numFmtId="21" xfId="0" applyAlignment="1" applyBorder="1" applyFill="1" applyFont="1" applyNumberFormat="1">
      <alignment horizontal="center" vertical="center"/>
    </xf>
    <xf borderId="1" fillId="3" fontId="10" numFmtId="0" xfId="0" applyAlignment="1" applyBorder="1" applyFill="1" applyFont="1">
      <alignment horizontal="center" vertical="center"/>
    </xf>
    <xf borderId="6" fillId="3" fontId="10" numFmtId="0" xfId="0" applyAlignment="1" applyBorder="1" applyFill="1" applyFont="1">
      <alignment horizontal="center" shrinkToFit="0" vertical="center" wrapText="1"/>
    </xf>
    <xf borderId="0" fillId="0" fontId="6" numFmtId="166" xfId="0" applyAlignment="1" applyFont="1" applyNumberFormat="1">
      <alignment shrinkToFit="0" wrapText="1"/>
    </xf>
    <xf borderId="0" fillId="0" fontId="1" numFmtId="166" xfId="0" applyAlignment="1" applyFont="1" applyNumberFormat="1">
      <alignment horizontal="right"/>
    </xf>
    <xf borderId="0" fillId="0" fontId="1" numFmtId="166" xfId="0" applyAlignment="1" applyFont="1" applyNumberFormat="1">
      <alignment horizontal="right" vertical="center"/>
    </xf>
    <xf borderId="3" fillId="0" fontId="11" numFmtId="0" xfId="0" applyBorder="1" applyFont="1"/>
    <xf borderId="8" fillId="0" fontId="11" numFmtId="0" xfId="0" applyBorder="1" applyFont="1"/>
    <xf borderId="9" fillId="3" fontId="10" numFmtId="20" xfId="0" applyAlignment="1" applyBorder="1" applyFill="1" applyFont="1" applyNumberFormat="1">
      <alignment horizontal="center" vertical="center"/>
    </xf>
    <xf borderId="7" fillId="3" fontId="10" numFmtId="15" xfId="0" applyAlignment="1" applyBorder="1" applyFill="1" applyFont="1" applyNumberFormat="1">
      <alignment horizontal="center" readingOrder="0" vertical="center"/>
    </xf>
    <xf borderId="10" fillId="3" fontId="10" numFmtId="0" xfId="0" applyAlignment="1" applyBorder="1" applyFill="1" applyFont="1">
      <alignment horizontal="center" vertical="center"/>
    </xf>
    <xf borderId="1" fillId="3" fontId="10" numFmtId="15" xfId="0" applyAlignment="1" applyBorder="1" applyFill="1" applyFont="1" applyNumberFormat="1">
      <alignment horizontal="center" readingOrder="0" vertical="center"/>
    </xf>
    <xf borderId="9" fillId="3" fontId="10" numFmtId="0" xfId="0" applyAlignment="1" applyBorder="1" applyFill="1" applyFont="1">
      <alignment horizontal="center" vertical="center"/>
    </xf>
    <xf borderId="1" fillId="4" fontId="1" numFmtId="0" xfId="0" applyAlignment="1" applyBorder="1" applyFill="1" applyFont="1">
      <alignment vertical="center"/>
    </xf>
    <xf borderId="1" fillId="0" fontId="6" numFmtId="165" xfId="0" applyAlignment="1" applyBorder="1" applyFont="1" applyNumberFormat="1">
      <alignment horizontal="center" vertical="center"/>
    </xf>
    <xf borderId="11" fillId="4" fontId="1" numFmtId="0" xfId="0" applyAlignment="1" applyBorder="1" applyFill="1" applyFont="1">
      <alignment vertical="center"/>
    </xf>
    <xf borderId="0" fillId="3" fontId="10" numFmtId="0" xfId="0" applyAlignment="1" applyFill="1" applyFont="1">
      <alignment horizontal="center" vertical="center"/>
    </xf>
    <xf borderId="1" fillId="4" fontId="6" numFmtId="165" xfId="0" applyAlignment="1" applyBorder="1" applyFill="1" applyFont="1" applyNumberFormat="1">
      <alignment horizontal="center" vertical="center"/>
    </xf>
    <xf borderId="1" fillId="0" fontId="6" numFmtId="0" xfId="0" applyAlignment="1" applyBorder="1" applyFont="1">
      <alignment shrinkToFit="0" vertical="center" wrapText="1"/>
    </xf>
    <xf borderId="1" fillId="4" fontId="6" numFmtId="0" xfId="0" applyAlignment="1" applyBorder="1" applyFill="1" applyFont="1">
      <alignment shrinkToFit="0" vertical="center" wrapText="1"/>
    </xf>
    <xf borderId="0" fillId="0" fontId="1" numFmtId="0" xfId="0" applyAlignment="1" applyFont="1">
      <alignment vertical="center"/>
    </xf>
    <xf borderId="11" fillId="4" fontId="6" numFmtId="0" xfId="0" applyAlignment="1" applyBorder="1" applyFill="1" applyFont="1">
      <alignment horizontal="center" shrinkToFit="0" vertical="center" wrapText="1"/>
    </xf>
    <xf borderId="1" fillId="4" fontId="6" numFmtId="0" xfId="0" applyAlignment="1" applyBorder="1" applyFill="1" applyFont="1">
      <alignment horizontal="center" shrinkToFit="0" vertical="center" wrapText="1"/>
    </xf>
    <xf borderId="1" fillId="0" fontId="1" numFmtId="0" xfId="0" applyAlignment="1" applyBorder="1" applyFont="1">
      <alignment vertical="center"/>
    </xf>
    <xf borderId="1" fillId="0" fontId="6" numFmtId="0" xfId="0" applyAlignment="1" applyBorder="1" applyFont="1">
      <alignment vertical="center"/>
    </xf>
    <xf borderId="1" fillId="0" fontId="1" numFmtId="0" xfId="0" applyBorder="1" applyFont="1"/>
    <xf borderId="1" fillId="0" fontId="6" numFmtId="20" xfId="0" applyAlignment="1" applyBorder="1" applyFont="1" applyNumberFormat="1">
      <alignment horizontal="center" readingOrder="0" vertical="center"/>
    </xf>
    <xf borderId="1" fillId="4" fontId="6" numFmtId="165" xfId="0" applyAlignment="1" applyBorder="1" applyFill="1" applyFont="1" applyNumberFormat="1">
      <alignment horizontal="center" readingOrder="0" vertical="center"/>
    </xf>
    <xf borderId="12" fillId="4" fontId="1" numFmtId="0" xfId="0" applyAlignment="1" applyBorder="1" applyFill="1" applyFont="1">
      <alignment vertical="center"/>
    </xf>
    <xf borderId="1" fillId="4" fontId="6" numFmtId="0" xfId="0" applyAlignment="1" applyBorder="1" applyFill="1" applyFont="1">
      <alignment readingOrder="0" shrinkToFit="0" vertical="center" wrapText="1"/>
    </xf>
    <xf borderId="1" fillId="4" fontId="6" numFmtId="0" xfId="0" applyAlignment="1" applyBorder="1" applyFill="1" applyFont="1">
      <alignment vertical="center"/>
    </xf>
    <xf borderId="6" fillId="0" fontId="6" numFmtId="165" xfId="0" applyAlignment="1" applyBorder="1" applyFont="1" applyNumberFormat="1">
      <alignment horizontal="center" vertical="center"/>
    </xf>
    <xf borderId="1" fillId="5" fontId="6" numFmtId="165" xfId="0" applyAlignment="1" applyBorder="1" applyFill="1" applyFont="1" applyNumberFormat="1">
      <alignment horizontal="center" vertical="center"/>
    </xf>
    <xf borderId="1" fillId="4" fontId="12" numFmtId="0" xfId="0" applyAlignment="1" applyBorder="1" applyFill="1" applyFont="1">
      <alignment shrinkToFit="0" vertical="center" wrapText="1"/>
    </xf>
    <xf borderId="0" fillId="0" fontId="6" numFmtId="0" xfId="0" applyAlignment="1" applyFont="1">
      <alignment readingOrder="0" shrinkToFit="0" wrapText="1"/>
    </xf>
    <xf borderId="6" fillId="0" fontId="6" numFmtId="0" xfId="0" applyAlignment="1" applyBorder="1" applyFont="1">
      <alignment shrinkToFit="0" vertical="center" wrapText="1"/>
    </xf>
    <xf borderId="13" fillId="0" fontId="6" numFmtId="0" xfId="0" applyAlignment="1" applyBorder="1" applyFont="1">
      <alignment horizontal="center" shrinkToFit="0" vertical="center" wrapText="1"/>
    </xf>
    <xf borderId="1" fillId="5" fontId="6" numFmtId="0" xfId="0" applyAlignment="1" applyBorder="1" applyFill="1" applyFont="1">
      <alignment shrinkToFit="0" vertical="center" wrapText="1"/>
    </xf>
    <xf borderId="1" fillId="4" fontId="6" numFmtId="0" xfId="0" applyAlignment="1" applyBorder="1" applyFill="1" applyFont="1">
      <alignment horizontal="center" readingOrder="0" shrinkToFit="0" vertical="center" wrapText="1"/>
    </xf>
    <xf borderId="7" fillId="5" fontId="6" numFmtId="0" xfId="0" applyAlignment="1" applyBorder="1" applyFill="1" applyFont="1">
      <alignment horizontal="center" shrinkToFit="0" vertical="center" wrapText="1"/>
    </xf>
    <xf borderId="6" fillId="0" fontId="6" numFmtId="0" xfId="0" applyAlignment="1" applyBorder="1" applyFont="1">
      <alignment horizontal="center" vertical="center"/>
    </xf>
    <xf borderId="1" fillId="5" fontId="6" numFmtId="0" xfId="0" applyAlignment="1" applyBorder="1" applyFill="1" applyFont="1">
      <alignment horizontal="center" shrinkToFit="0" vertical="center" wrapText="1"/>
    </xf>
    <xf borderId="1" fillId="4" fontId="12" numFmtId="0" xfId="0" applyAlignment="1" applyBorder="1" applyFill="1" applyFont="1">
      <alignment readingOrder="0" shrinkToFit="0" vertical="center" wrapText="1"/>
    </xf>
    <xf borderId="1" fillId="5" fontId="6" numFmtId="0" xfId="0" applyAlignment="1" applyBorder="1" applyFill="1" applyFont="1">
      <alignment readingOrder="0" shrinkToFit="0" vertical="center" wrapText="1"/>
    </xf>
    <xf borderId="6" fillId="0" fontId="6" numFmtId="0" xfId="0" applyAlignment="1" applyBorder="1" applyFont="1">
      <alignment horizontal="center" shrinkToFit="0" vertical="center" wrapText="1"/>
    </xf>
    <xf borderId="0" fillId="0" fontId="9" numFmtId="0" xfId="0" applyAlignment="1" applyFont="1">
      <alignment readingOrder="0" shrinkToFit="0" vertical="center" wrapText="1"/>
    </xf>
    <xf borderId="1" fillId="5" fontId="1" numFmtId="0" xfId="0" applyAlignment="1" applyBorder="1" applyFill="1" applyFont="1">
      <alignment vertical="center"/>
    </xf>
    <xf borderId="1" fillId="5" fontId="6" numFmtId="0" xfId="0" applyAlignment="1" applyBorder="1" applyFill="1" applyFont="1">
      <alignment vertical="center"/>
    </xf>
    <xf borderId="6" fillId="4" fontId="6" numFmtId="0" xfId="0" applyAlignment="1" applyBorder="1" applyFill="1" applyFont="1">
      <alignment shrinkToFit="0" vertical="center" wrapText="1"/>
    </xf>
    <xf borderId="0" fillId="0" fontId="13" numFmtId="0" xfId="0" applyAlignment="1" applyFont="1">
      <alignment horizontal="center" readingOrder="0"/>
    </xf>
    <xf borderId="0" fillId="0" fontId="6" numFmtId="165" xfId="0" applyAlignment="1" applyFont="1" applyNumberFormat="1">
      <alignment horizontal="center" vertical="center"/>
    </xf>
    <xf borderId="1" fillId="0" fontId="6" numFmtId="165" xfId="0" applyAlignment="1" applyBorder="1" applyFont="1" applyNumberFormat="1">
      <alignment horizontal="center" readingOrder="0" vertical="center"/>
    </xf>
    <xf borderId="0" fillId="0" fontId="6" numFmtId="165" xfId="0" applyAlignment="1" applyFont="1" applyNumberFormat="1">
      <alignment horizontal="center" readingOrder="0" vertical="center"/>
    </xf>
    <xf borderId="0" fillId="0" fontId="9" numFmtId="167" xfId="0" applyAlignment="1" applyFont="1" applyNumberFormat="1">
      <alignment horizontal="center" readingOrder="0"/>
    </xf>
    <xf borderId="0" fillId="0" fontId="6" numFmtId="0" xfId="0" applyAlignment="1" applyFont="1">
      <alignment shrinkToFit="0" vertical="center" wrapText="1"/>
    </xf>
    <xf borderId="6" fillId="0" fontId="1" numFmtId="0" xfId="0" applyAlignment="1" applyBorder="1" applyFont="1">
      <alignment vertical="center"/>
    </xf>
    <xf borderId="0" fillId="0" fontId="6"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6" numFmtId="0" xfId="0" applyAlignment="1" applyFont="1">
      <alignment readingOrder="0" shrinkToFit="0" vertical="center" wrapText="1"/>
    </xf>
    <xf borderId="1" fillId="6" fontId="9" numFmtId="0" xfId="0" applyAlignment="1" applyBorder="1" applyFill="1" applyFont="1">
      <alignment horizontal="center" readingOrder="0"/>
    </xf>
    <xf borderId="0" fillId="0" fontId="12" numFmtId="0" xfId="0" applyAlignment="1" applyFont="1">
      <alignment readingOrder="0" shrinkToFit="0" vertical="center" wrapText="1"/>
    </xf>
    <xf borderId="0" fillId="0" fontId="14" numFmtId="0" xfId="0" applyAlignment="1" applyFont="1">
      <alignment readingOrder="0" shrinkToFit="0" vertical="center" wrapText="1"/>
    </xf>
    <xf borderId="14" fillId="0" fontId="6" numFmtId="0" xfId="0" applyAlignment="1" applyBorder="1" applyFont="1">
      <alignment horizontal="center" shrinkToFit="0" vertical="center" wrapText="1"/>
    </xf>
    <xf borderId="1" fillId="2" fontId="1" numFmtId="0" xfId="0" applyAlignment="1" applyBorder="1" applyFill="1" applyFont="1">
      <alignment vertical="center"/>
    </xf>
    <xf borderId="1" fillId="0" fontId="6" numFmtId="0" xfId="0" applyAlignment="1" applyBorder="1" applyFont="1">
      <alignment horizontal="center" vertical="center"/>
    </xf>
    <xf borderId="1" fillId="0" fontId="6" numFmtId="0" xfId="0" applyAlignment="1" applyBorder="1" applyFont="1">
      <alignment horizontal="center" shrinkToFit="0" vertical="center" wrapText="1"/>
    </xf>
    <xf borderId="1" fillId="2" fontId="6" numFmtId="165" xfId="0" applyAlignment="1" applyBorder="1" applyFill="1" applyFont="1" applyNumberFormat="1">
      <alignment horizontal="center" vertical="center"/>
    </xf>
    <xf borderId="1" fillId="0" fontId="9" numFmtId="0" xfId="0" applyAlignment="1" applyBorder="1" applyFont="1">
      <alignment horizontal="center" readingOrder="0"/>
    </xf>
    <xf borderId="0" fillId="0" fontId="1" numFmtId="0" xfId="0" applyAlignment="1" applyFont="1">
      <alignment readingOrder="0" shrinkToFit="0" vertical="center" wrapText="1"/>
    </xf>
    <xf borderId="1" fillId="0" fontId="9" numFmtId="0" xfId="0" applyAlignment="1" applyBorder="1" applyFont="1">
      <alignment readingOrder="0"/>
    </xf>
    <xf borderId="1" fillId="2" fontId="6" numFmtId="0" xfId="0" applyAlignment="1" applyBorder="1" applyFill="1" applyFont="1">
      <alignment shrinkToFit="0" vertical="center" wrapText="1"/>
    </xf>
    <xf borderId="15" fillId="0" fontId="11" numFmtId="0" xfId="0" applyBorder="1" applyFont="1"/>
    <xf borderId="1" fillId="0" fontId="9" numFmtId="167" xfId="0" applyAlignment="1" applyBorder="1" applyFont="1" applyNumberFormat="1">
      <alignment readingOrder="0"/>
    </xf>
    <xf borderId="1" fillId="2" fontId="6" numFmtId="0" xfId="0" applyAlignment="1" applyBorder="1" applyFill="1" applyFont="1">
      <alignment horizontal="center" shrinkToFit="0" vertical="center" wrapText="1"/>
    </xf>
    <xf borderId="0" fillId="4" fontId="6" numFmtId="0" xfId="0" applyAlignment="1" applyFill="1" applyFont="1">
      <alignment vertical="center"/>
    </xf>
    <xf borderId="1" fillId="7" fontId="6" numFmtId="0" xfId="0" applyAlignment="1" applyBorder="1" applyFill="1" applyFont="1">
      <alignment readingOrder="0" shrinkToFit="0" vertical="center" wrapText="1"/>
    </xf>
    <xf borderId="1" fillId="2" fontId="6" numFmtId="0" xfId="0" applyAlignment="1" applyBorder="1" applyFill="1" applyFont="1">
      <alignment vertical="center"/>
    </xf>
    <xf borderId="1" fillId="0" fontId="9" numFmtId="167" xfId="0" applyBorder="1" applyFont="1" applyNumberFormat="1"/>
    <xf borderId="11" fillId="8" fontId="1" numFmtId="0" xfId="0" applyAlignment="1" applyBorder="1" applyFill="1" applyFont="1">
      <alignment vertical="center"/>
    </xf>
    <xf borderId="1" fillId="2" fontId="6" numFmtId="0" xfId="0" applyAlignment="1" applyBorder="1" applyFill="1" applyFont="1">
      <alignment readingOrder="0" shrinkToFit="0" vertical="center" wrapText="1"/>
    </xf>
    <xf borderId="1" fillId="2" fontId="9" numFmtId="0" xfId="0" applyAlignment="1" applyBorder="1" applyFill="1" applyFont="1">
      <alignment readingOrder="0"/>
    </xf>
    <xf borderId="1" fillId="8" fontId="6" numFmtId="165" xfId="0" applyAlignment="1" applyBorder="1" applyFill="1" applyFont="1" applyNumberFormat="1">
      <alignment horizontal="center" vertical="center"/>
    </xf>
    <xf borderId="7" fillId="4" fontId="6" numFmtId="0" xfId="0" applyAlignment="1" applyBorder="1" applyFill="1" applyFont="1">
      <alignment horizontal="center" shrinkToFit="0" vertical="center" wrapText="1"/>
    </xf>
    <xf borderId="1" fillId="9" fontId="1" numFmtId="0" xfId="0" applyAlignment="1" applyBorder="1" applyFill="1" applyFont="1">
      <alignment vertical="center"/>
    </xf>
    <xf borderId="1" fillId="8" fontId="6" numFmtId="0" xfId="0" applyAlignment="1" applyBorder="1" applyFill="1" applyFont="1">
      <alignment readingOrder="0" shrinkToFit="0" vertical="center" wrapText="1"/>
    </xf>
    <xf borderId="0" fillId="0" fontId="15" numFmtId="0" xfId="0" applyAlignment="1" applyFont="1">
      <alignment readingOrder="0"/>
    </xf>
    <xf borderId="1" fillId="9" fontId="6" numFmtId="165" xfId="0" applyAlignment="1" applyBorder="1" applyFill="1" applyFont="1" applyNumberFormat="1">
      <alignment horizontal="center" vertical="center"/>
    </xf>
    <xf borderId="7" fillId="8" fontId="6" numFmtId="0" xfId="0" applyAlignment="1" applyBorder="1" applyFill="1" applyFont="1">
      <alignment horizontal="center" shrinkToFit="0" vertical="center" wrapText="1"/>
    </xf>
    <xf borderId="1" fillId="8" fontId="6" numFmtId="0" xfId="0" applyAlignment="1" applyBorder="1" applyFill="1" applyFont="1">
      <alignment horizontal="center" shrinkToFit="0" vertical="center" wrapText="1"/>
    </xf>
    <xf borderId="1" fillId="9" fontId="6" numFmtId="0" xfId="0" applyAlignment="1" applyBorder="1" applyFill="1" applyFont="1">
      <alignment shrinkToFit="0" vertical="center" wrapText="1"/>
    </xf>
    <xf borderId="1" fillId="8" fontId="1" numFmtId="0" xfId="0" applyAlignment="1" applyBorder="1" applyFill="1" applyFont="1">
      <alignment vertical="center"/>
    </xf>
    <xf borderId="1" fillId="9" fontId="6" numFmtId="0" xfId="0" applyAlignment="1" applyBorder="1" applyFill="1" applyFont="1">
      <alignment horizontal="center" shrinkToFit="0" vertical="center" wrapText="1"/>
    </xf>
    <xf borderId="1" fillId="8" fontId="6" numFmtId="0" xfId="0" applyAlignment="1" applyBorder="1" applyFill="1" applyFont="1">
      <alignment vertical="center"/>
    </xf>
    <xf borderId="1" fillId="8" fontId="4" numFmtId="0" xfId="0" applyAlignment="1" applyBorder="1" applyFill="1" applyFont="1">
      <alignment readingOrder="0" shrinkToFit="0" vertical="center" wrapText="1"/>
    </xf>
    <xf borderId="1" fillId="10" fontId="6" numFmtId="165" xfId="0" applyAlignment="1" applyBorder="1" applyFill="1" applyFont="1" applyNumberFormat="1">
      <alignment horizontal="center" readingOrder="0" vertical="center"/>
    </xf>
    <xf borderId="1" fillId="10" fontId="6" numFmtId="165" xfId="0" applyAlignment="1" applyBorder="1" applyFill="1" applyFont="1" applyNumberFormat="1">
      <alignment horizontal="center" vertical="center"/>
    </xf>
    <xf borderId="1" fillId="11" fontId="9" numFmtId="0" xfId="0" applyAlignment="1" applyBorder="1" applyFill="1" applyFont="1">
      <alignment readingOrder="0"/>
    </xf>
    <xf borderId="1" fillId="10" fontId="6" numFmtId="0" xfId="0" applyAlignment="1" applyBorder="1" applyFill="1" applyFont="1">
      <alignment shrinkToFit="0" vertical="center" wrapText="1"/>
    </xf>
    <xf borderId="1" fillId="10" fontId="6" numFmtId="0" xfId="0" applyAlignment="1" applyBorder="1" applyFill="1" applyFont="1">
      <alignment horizontal="center" shrinkToFit="0" vertical="center" wrapText="1"/>
    </xf>
    <xf borderId="1" fillId="10" fontId="6" numFmtId="0" xfId="0" applyAlignment="1" applyBorder="1" applyFill="1" applyFont="1">
      <alignment horizontal="center" readingOrder="0" shrinkToFit="0" vertical="center" wrapText="1"/>
    </xf>
    <xf borderId="1" fillId="10" fontId="6" numFmtId="0" xfId="0" applyAlignment="1" applyBorder="1" applyFill="1" applyFont="1">
      <alignment readingOrder="0" shrinkToFit="0" vertical="center" wrapText="1"/>
    </xf>
    <xf borderId="1" fillId="4" fontId="14" numFmtId="0" xfId="0" applyAlignment="1" applyBorder="1" applyFill="1" applyFont="1">
      <alignment readingOrder="0" shrinkToFit="0" vertical="center" wrapText="1"/>
    </xf>
    <xf borderId="1" fillId="10" fontId="12" numFmtId="0" xfId="0" applyAlignment="1" applyBorder="1" applyFill="1" applyFont="1">
      <alignment readingOrder="0" shrinkToFit="0" vertical="center" wrapText="1"/>
    </xf>
    <xf borderId="0" fillId="4" fontId="14" numFmtId="0" xfId="0" applyAlignment="1" applyFill="1" applyFont="1">
      <alignment readingOrder="0" shrinkToFit="0" vertical="center" wrapText="1"/>
    </xf>
    <xf borderId="1" fillId="10" fontId="6" numFmtId="0" xfId="0" applyAlignment="1" applyBorder="1" applyFill="1" applyFont="1">
      <alignment vertical="center"/>
    </xf>
    <xf borderId="1" fillId="10" fontId="14" numFmtId="0" xfId="0" applyAlignment="1" applyBorder="1" applyFill="1" applyFont="1">
      <alignment readingOrder="0" shrinkToFit="0" vertical="center" wrapText="1"/>
    </xf>
    <xf borderId="11" fillId="10" fontId="1" numFmtId="0" xfId="0" applyAlignment="1" applyBorder="1" applyFill="1" applyFont="1">
      <alignment vertical="center"/>
    </xf>
    <xf borderId="7" fillId="10" fontId="6" numFmtId="0" xfId="0" applyAlignment="1" applyBorder="1" applyFill="1" applyFont="1">
      <alignment horizontal="center" shrinkToFit="0" vertical="center" wrapText="1"/>
    </xf>
    <xf borderId="1" fillId="0" fontId="9" numFmtId="0" xfId="0" applyBorder="1" applyFont="1"/>
    <xf borderId="1" fillId="10" fontId="6" numFmtId="0" xfId="0" applyAlignment="1" applyBorder="1" applyFill="1" applyFont="1">
      <alignment horizontal="center" vertical="center"/>
    </xf>
    <xf borderId="1" fillId="10" fontId="1" numFmtId="0" xfId="0" applyAlignment="1" applyBorder="1" applyFill="1" applyFont="1">
      <alignment vertical="center"/>
    </xf>
    <xf borderId="1" fillId="9" fontId="16" numFmtId="0" xfId="0" applyAlignment="1" applyBorder="1" applyFill="1" applyFont="1">
      <alignment readingOrder="0" shrinkToFit="0" vertical="center" wrapText="1"/>
    </xf>
    <xf borderId="4" fillId="10" fontId="6" numFmtId="165" xfId="0" applyAlignment="1" applyBorder="1" applyFill="1" applyFont="1" applyNumberFormat="1">
      <alignment horizontal="center" vertical="center"/>
    </xf>
    <xf borderId="0" fillId="0" fontId="9" numFmtId="0" xfId="0" applyAlignment="1" applyFont="1">
      <alignment readingOrder="0"/>
    </xf>
    <xf borderId="1" fillId="0" fontId="6" numFmtId="0" xfId="0" applyAlignment="1" applyBorder="1" applyFont="1">
      <alignment readingOrder="0" shrinkToFit="0" vertical="center" wrapText="1"/>
    </xf>
    <xf borderId="16" fillId="0" fontId="9" numFmtId="0" xfId="0" applyBorder="1" applyFont="1"/>
    <xf borderId="14" fillId="0" fontId="11" numFmtId="0" xfId="0" applyBorder="1" applyFont="1"/>
    <xf borderId="0" fillId="0" fontId="17" numFmtId="0" xfId="0" applyAlignment="1" applyFont="1">
      <alignment readingOrder="0"/>
    </xf>
    <xf borderId="1" fillId="0" fontId="1" numFmtId="0" xfId="0" applyAlignment="1" applyBorder="1" applyFont="1">
      <alignment readingOrder="0" shrinkToFit="0" vertical="center" wrapText="1"/>
    </xf>
    <xf borderId="1" fillId="0" fontId="9" numFmtId="0" xfId="0" applyAlignment="1" applyBorder="1" applyFont="1">
      <alignment horizontal="center"/>
    </xf>
    <xf borderId="11" fillId="2" fontId="1" numFmtId="0" xfId="0" applyAlignment="1" applyBorder="1" applyFill="1" applyFont="1">
      <alignment vertical="center"/>
    </xf>
    <xf borderId="7" fillId="2" fontId="6" numFmtId="0" xfId="0" applyAlignment="1" applyBorder="1" applyFill="1" applyFont="1">
      <alignment horizontal="center" shrinkToFit="0" vertical="center" wrapText="1"/>
    </xf>
    <xf borderId="17" fillId="10" fontId="6" numFmtId="165" xfId="0" applyAlignment="1" applyBorder="1" applyFill="1" applyFont="1" applyNumberFormat="1">
      <alignment horizontal="center" vertical="center"/>
    </xf>
    <xf borderId="6" fillId="10" fontId="6" numFmtId="0" xfId="0" applyAlignment="1" applyBorder="1" applyFill="1" applyFont="1">
      <alignment shrinkToFit="0" vertical="center" wrapText="1"/>
    </xf>
    <xf borderId="0" fillId="0" fontId="1" numFmtId="0" xfId="0" applyAlignment="1" applyFont="1">
      <alignment readingOrder="0" vertical="center"/>
    </xf>
    <xf borderId="6" fillId="10" fontId="6" numFmtId="0" xfId="0" applyAlignment="1" applyBorder="1" applyFill="1" applyFont="1">
      <alignment horizontal="center" shrinkToFit="0" vertical="center" wrapText="1"/>
    </xf>
    <xf borderId="4" fillId="10" fontId="6" numFmtId="0" xfId="0" applyAlignment="1" applyBorder="1" applyFill="1" applyFont="1">
      <alignment horizontal="center" shrinkToFit="0" vertical="center" wrapText="1"/>
    </xf>
    <xf borderId="1" fillId="8" fontId="18" numFmtId="0" xfId="0" applyAlignment="1" applyBorder="1" applyFill="1" applyFont="1">
      <alignment readingOrder="0" vertical="center"/>
    </xf>
    <xf borderId="4" fillId="10" fontId="6" numFmtId="0" xfId="0" applyAlignment="1" applyBorder="1" applyFill="1" applyFont="1">
      <alignment shrinkToFit="0" vertical="center" wrapText="1"/>
    </xf>
    <xf borderId="18" fillId="4" fontId="6" numFmtId="165" xfId="0" applyAlignment="1" applyBorder="1" applyFill="1" applyFont="1" applyNumberFormat="1">
      <alignment horizontal="center" vertical="center"/>
    </xf>
    <xf borderId="4" fillId="10" fontId="1" numFmtId="0" xfId="0" applyAlignment="1" applyBorder="1" applyFill="1" applyFont="1">
      <alignment vertical="center"/>
    </xf>
    <xf borderId="18" fillId="4" fontId="1" numFmtId="20" xfId="0" applyBorder="1" applyFill="1" applyFont="1" applyNumberFormat="1"/>
    <xf borderId="17" fillId="10" fontId="6" numFmtId="0" xfId="0" applyAlignment="1" applyBorder="1" applyFill="1" applyFont="1">
      <alignment shrinkToFit="0" vertical="center" wrapText="1"/>
    </xf>
    <xf borderId="11" fillId="12" fontId="1" numFmtId="0" xfId="0" applyAlignment="1" applyBorder="1" applyFill="1" applyFont="1">
      <alignment vertical="center"/>
    </xf>
    <xf borderId="1" fillId="10" fontId="1" numFmtId="0" xfId="0" applyBorder="1" applyFill="1" applyFont="1"/>
    <xf borderId="1" fillId="12" fontId="6" numFmtId="165" xfId="0" applyAlignment="1" applyBorder="1" applyFill="1" applyFont="1" applyNumberFormat="1">
      <alignment horizontal="center" vertical="center"/>
    </xf>
    <xf borderId="1" fillId="12" fontId="6" numFmtId="0" xfId="0" applyAlignment="1" applyBorder="1" applyFill="1" applyFont="1">
      <alignment shrinkToFit="0" vertical="center" wrapText="1"/>
    </xf>
    <xf borderId="7" fillId="12" fontId="6" numFmtId="0" xfId="0" applyAlignment="1" applyBorder="1" applyFill="1" applyFont="1">
      <alignment horizontal="center" shrinkToFit="0" vertical="center" wrapText="1"/>
    </xf>
    <xf borderId="1" fillId="12" fontId="6" numFmtId="0" xfId="0" applyAlignment="1" applyBorder="1" applyFill="1" applyFont="1">
      <alignment horizontal="center" shrinkToFit="0" vertical="center" wrapText="1"/>
    </xf>
    <xf borderId="1" fillId="12" fontId="1" numFmtId="0" xfId="0" applyAlignment="1" applyBorder="1" applyFill="1" applyFont="1">
      <alignment vertical="center"/>
    </xf>
    <xf borderId="1" fillId="12" fontId="6" numFmtId="0" xfId="0" applyAlignment="1" applyBorder="1" applyFill="1" applyFont="1">
      <alignment vertical="center"/>
    </xf>
    <xf borderId="0" fillId="10" fontId="14" numFmtId="0" xfId="0" applyAlignment="1" applyFill="1" applyFont="1">
      <alignment readingOrder="0" shrinkToFit="0" vertical="center" wrapText="1"/>
    </xf>
    <xf borderId="1" fillId="9" fontId="19" numFmtId="0" xfId="0" applyAlignment="1" applyBorder="1" applyFill="1" applyFont="1">
      <alignment readingOrder="0" shrinkToFit="0" vertical="center" wrapText="1"/>
    </xf>
    <xf borderId="1" fillId="9" fontId="6" numFmtId="0" xfId="0" applyAlignment="1" applyBorder="1" applyFill="1" applyFont="1">
      <alignment vertical="center"/>
    </xf>
    <xf borderId="18" fillId="4" fontId="6" numFmtId="0" xfId="0" applyAlignment="1" applyBorder="1" applyFill="1" applyFont="1">
      <alignment readingOrder="0" shrinkToFit="0" wrapText="1"/>
    </xf>
    <xf borderId="18" fillId="4" fontId="6" numFmtId="0" xfId="0" applyAlignment="1" applyBorder="1" applyFill="1" applyFont="1">
      <alignment shrinkToFit="0" wrapText="1"/>
    </xf>
    <xf borderId="18" fillId="4" fontId="1" numFmtId="0" xfId="0" applyBorder="1" applyFill="1" applyFont="1"/>
    <xf borderId="1" fillId="4" fontId="20" numFmtId="0" xfId="0" applyAlignment="1" applyBorder="1" applyFill="1" applyFont="1">
      <alignment readingOrder="0" vertical="center"/>
    </xf>
    <xf borderId="18" fillId="4" fontId="6" numFmtId="0" xfId="0" applyAlignment="1" applyBorder="1" applyFill="1" applyFont="1">
      <alignment horizontal="center" shrinkToFit="0" vertical="center" wrapText="1"/>
    </xf>
    <xf borderId="18" fillId="4" fontId="6" numFmtId="0" xfId="0" applyAlignment="1" applyBorder="1" applyFill="1" applyFont="1">
      <alignment shrinkToFit="0" vertical="center" wrapText="1"/>
    </xf>
    <xf borderId="1" fillId="2" fontId="6" numFmtId="0" xfId="0" applyAlignment="1" applyBorder="1" applyFill="1" applyFont="1">
      <alignment horizontal="left" shrinkToFit="0" vertical="center" wrapText="1"/>
    </xf>
    <xf borderId="18" fillId="4" fontId="12" numFmtId="0" xfId="0" applyAlignment="1" applyBorder="1" applyFill="1" applyFont="1">
      <alignment shrinkToFit="0" vertical="center" wrapText="1"/>
    </xf>
    <xf borderId="19" fillId="0" fontId="11" numFmtId="0" xfId="0" applyBorder="1" applyFont="1"/>
    <xf borderId="18" fillId="4" fontId="6" numFmtId="0" xfId="0" applyAlignment="1" applyBorder="1" applyFill="1" applyFont="1">
      <alignment vertical="center"/>
    </xf>
    <xf borderId="20" fillId="0" fontId="11" numFmtId="0" xfId="0" applyBorder="1" applyFont="1"/>
    <xf borderId="2" fillId="0" fontId="11" numFmtId="0" xfId="0" applyBorder="1" applyFont="1"/>
    <xf borderId="1" fillId="4" fontId="18" numFmtId="0" xfId="0" applyAlignment="1" applyBorder="1" applyFill="1" applyFont="1">
      <alignment readingOrder="0" shrinkToFit="0" vertical="center" wrapText="1"/>
    </xf>
    <xf borderId="1" fillId="9" fontId="6" numFmtId="165" xfId="0" applyAlignment="1" applyBorder="1" applyFill="1" applyFont="1" applyNumberFormat="1">
      <alignment horizontal="center" readingOrder="0" vertical="center"/>
    </xf>
    <xf borderId="3" fillId="0" fontId="1" numFmtId="0" xfId="0" applyAlignment="1" applyBorder="1" applyFont="1">
      <alignment vertical="center"/>
    </xf>
    <xf borderId="1" fillId="9" fontId="6" numFmtId="0" xfId="0" applyAlignment="1" applyBorder="1" applyFill="1" applyFont="1">
      <alignment readingOrder="0" shrinkToFit="0" vertical="center" wrapText="1"/>
    </xf>
    <xf borderId="1" fillId="9" fontId="6" numFmtId="0" xfId="0" applyAlignment="1" applyBorder="1" applyFill="1" applyFont="1">
      <alignment horizontal="center" readingOrder="0" shrinkToFit="0" vertical="center" wrapText="1"/>
    </xf>
    <xf borderId="1" fillId="9" fontId="12" numFmtId="0" xfId="0" applyAlignment="1" applyBorder="1" applyFill="1" applyFont="1">
      <alignment readingOrder="0" shrinkToFit="0" vertical="center" wrapText="1"/>
    </xf>
    <xf borderId="18" fillId="4" fontId="6" numFmtId="0" xfId="0" applyAlignment="1" applyBorder="1" applyFill="1" applyFont="1">
      <alignment readingOrder="0" shrinkToFit="0" vertical="center" wrapText="1"/>
    </xf>
    <xf borderId="7" fillId="10" fontId="1" numFmtId="0" xfId="0" applyAlignment="1" applyBorder="1" applyFill="1" applyFont="1">
      <alignment vertical="center"/>
    </xf>
    <xf borderId="21" fillId="0" fontId="11" numFmtId="0" xfId="0" applyBorder="1" applyFont="1"/>
    <xf borderId="22" fillId="0" fontId="11" numFmtId="0" xfId="0" applyBorder="1" applyFont="1"/>
    <xf borderId="1" fillId="0" fontId="6" numFmtId="0" xfId="0" applyAlignment="1" applyBorder="1" applyFont="1">
      <alignment horizontal="center" readingOrder="0" shrinkToFit="0" vertical="center" wrapText="1"/>
    </xf>
    <xf borderId="18" fillId="4" fontId="1" numFmtId="0" xfId="0" applyAlignment="1" applyBorder="1" applyFill="1" applyFont="1">
      <alignment readingOrder="0"/>
    </xf>
    <xf borderId="1" fillId="8" fontId="6" numFmtId="0" xfId="0" applyAlignment="1" applyBorder="1" applyFill="1" applyFont="1">
      <alignment shrinkToFit="0" vertical="center" wrapText="1"/>
    </xf>
    <xf borderId="1" fillId="0" fontId="21" numFmtId="0" xfId="0" applyAlignment="1" applyBorder="1" applyFont="1">
      <alignment readingOrder="0" shrinkToFit="0" vertical="center" wrapText="1"/>
    </xf>
    <xf borderId="1" fillId="8" fontId="1" numFmtId="0" xfId="0" applyAlignment="1" applyBorder="1" applyFill="1" applyFont="1">
      <alignment shrinkToFit="0" vertical="center" wrapText="1"/>
    </xf>
    <xf borderId="1" fillId="8" fontId="6" numFmtId="165" xfId="0" applyAlignment="1" applyBorder="1" applyFill="1" applyFont="1" applyNumberFormat="1">
      <alignment horizontal="center" shrinkToFit="0" vertical="center" wrapText="1"/>
    </xf>
    <xf borderId="18" fillId="4" fontId="6" numFmtId="0" xfId="0" applyAlignment="1" applyBorder="1" applyFill="1" applyFont="1">
      <alignment horizontal="center" vertical="center"/>
    </xf>
    <xf borderId="18" fillId="4" fontId="1" numFmtId="0" xfId="0" applyAlignment="1" applyBorder="1" applyFill="1" applyFont="1">
      <alignment vertical="center"/>
    </xf>
    <xf borderId="1" fillId="12" fontId="6" numFmtId="0" xfId="0" applyAlignment="1" applyBorder="1" applyFill="1" applyFont="1">
      <alignment readingOrder="0" shrinkToFit="0" vertical="center" wrapText="1"/>
    </xf>
    <xf borderId="1" fillId="4" fontId="6" numFmtId="20" xfId="0" applyAlignment="1" applyBorder="1" applyFill="1" applyFont="1" applyNumberFormat="1">
      <alignment horizontal="center" readingOrder="0" vertical="center"/>
    </xf>
    <xf borderId="0" fillId="0" fontId="1" numFmtId="168" xfId="0" applyAlignment="1" applyFont="1" applyNumberFormat="1">
      <alignment readingOrder="0"/>
    </xf>
    <xf borderId="0" fillId="0" fontId="1" numFmtId="0" xfId="0" applyAlignment="1" applyFont="1">
      <alignment readingOrder="0" shrinkToFit="0" wrapText="1"/>
    </xf>
    <xf borderId="0" fillId="0" fontId="2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wkCSiFioe7eUU8u-2DSgzUxJsLnB6Bxk/view?usp=drive_link)" TargetMode="External"/><Relationship Id="rId2" Type="http://schemas.openxmlformats.org/officeDocument/2006/relationships/hyperlink" Target="https://drive.google.com/file/d/1c6LfwZzFEBlUunolX3GQZtJO_Qh73PqJ/view?usp=drive_link" TargetMode="External"/><Relationship Id="rId3" Type="http://schemas.openxmlformats.org/officeDocument/2006/relationships/hyperlink" Target="https://drive.google.com/file/d/1HMz_fErSJz9GV4O1n0nrD9tmfuZnuQDs/view?usp=drive_link" TargetMode="External"/><Relationship Id="rId4" Type="http://schemas.openxmlformats.org/officeDocument/2006/relationships/hyperlink" Target="https://drive.google.com/file/d/19s-ouB1PwAUxdw7apPGLPMtLVQJF0vXw/view?usp=drive_link)" TargetMode="External"/><Relationship Id="rId5" Type="http://schemas.openxmlformats.org/officeDocument/2006/relationships/hyperlink" Target="https://drive.google.com/drive/folders/1OdOUmt4gLXS4D7wiP23Ze5Ubuf9C-UXG?usp=drive_link"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0.5"/>
    <col customWidth="1" min="2" max="2" width="4.88"/>
    <col customWidth="1" min="3" max="5" width="7.5"/>
    <col customWidth="1" min="6" max="6" width="31.88"/>
    <col customWidth="1" min="7" max="7" width="21.75"/>
    <col customWidth="1" min="8" max="8" width="12.0"/>
    <col customWidth="1" min="9" max="9" width="20.13"/>
    <col customWidth="1" min="10" max="10" width="62.25"/>
    <col customWidth="1" min="11" max="11" width="35.5"/>
    <col customWidth="1" min="12" max="12" width="12.5"/>
    <col customWidth="1" min="13" max="13" width="28.25"/>
    <col customWidth="1" min="14" max="14" width="30.13"/>
    <col customWidth="1" min="15" max="15" width="2.25"/>
    <col customWidth="1" min="16" max="16" width="4.88"/>
    <col customWidth="1" min="17" max="17" width="6.88"/>
    <col customWidth="1" min="18" max="18" width="7.0"/>
    <col customWidth="1" min="19" max="19" width="6.88"/>
    <col customWidth="1" min="20" max="20" width="23.5"/>
    <col customWidth="1" min="21" max="21" width="11.25"/>
    <col customWidth="1" min="22" max="22" width="11.75"/>
    <col customWidth="1" min="23" max="23" width="10.13"/>
    <col customWidth="1" min="24" max="24" width="23.5"/>
    <col customWidth="1" min="25" max="25" width="17.5"/>
    <col customWidth="1" min="26" max="26" width="14.63"/>
    <col customWidth="1" min="27" max="27" width="24.88"/>
    <col customWidth="1" min="28" max="28" width="12.5"/>
  </cols>
  <sheetData>
    <row r="1" ht="15.75" customHeight="1">
      <c r="A1" s="3" t="s">
        <v>0</v>
      </c>
      <c r="B1" s="1"/>
      <c r="C1" s="1"/>
      <c r="D1" s="1"/>
      <c r="E1" s="1"/>
      <c r="F1" s="1"/>
      <c r="G1" s="1"/>
      <c r="H1" s="1"/>
      <c r="I1" s="1"/>
      <c r="J1" s="1"/>
      <c r="K1" s="1"/>
      <c r="L1" s="1"/>
      <c r="M1" s="7"/>
      <c r="N1" s="7"/>
      <c r="O1" s="7"/>
      <c r="P1" s="1"/>
      <c r="Q1" s="1"/>
      <c r="R1" s="1"/>
      <c r="S1" s="1"/>
      <c r="T1" s="1"/>
      <c r="U1" s="1"/>
      <c r="V1" s="1"/>
      <c r="W1" s="1"/>
      <c r="X1" s="1"/>
      <c r="Y1" s="1"/>
      <c r="Z1" s="11"/>
      <c r="AA1" s="1"/>
    </row>
    <row r="2" ht="15.75" customHeight="1">
      <c r="A2" s="1"/>
      <c r="B2" s="6" t="s">
        <v>2</v>
      </c>
      <c r="N2" s="7"/>
      <c r="O2" s="7"/>
      <c r="P2" s="1"/>
      <c r="Q2" s="1"/>
      <c r="R2" s="1"/>
      <c r="S2" s="1"/>
      <c r="T2" s="1"/>
      <c r="U2" s="1"/>
      <c r="V2" s="1"/>
      <c r="W2" s="1"/>
      <c r="X2" s="1"/>
      <c r="Y2" s="1"/>
      <c r="Z2" s="11"/>
      <c r="AA2" s="1"/>
    </row>
    <row r="3" ht="15.75" customHeight="1">
      <c r="A3" s="1"/>
      <c r="B3" s="6" t="s">
        <v>11</v>
      </c>
      <c r="N3" s="7"/>
      <c r="O3" s="7"/>
      <c r="P3" s="12" t="s">
        <v>15</v>
      </c>
      <c r="AA3" s="9"/>
    </row>
    <row r="4" ht="15.75" customHeight="1">
      <c r="A4" s="1"/>
      <c r="B4" s="1"/>
      <c r="C4" s="1"/>
      <c r="D4" s="1"/>
      <c r="E4" s="1"/>
      <c r="F4" s="1"/>
      <c r="G4" s="1"/>
      <c r="H4" s="1"/>
      <c r="I4" s="1"/>
      <c r="J4" s="1"/>
      <c r="K4" s="1"/>
      <c r="L4" s="1"/>
      <c r="M4" s="7"/>
      <c r="N4" s="7"/>
      <c r="O4" s="7"/>
      <c r="Z4" s="16"/>
    </row>
    <row r="5" ht="15.75" customHeight="1">
      <c r="A5" s="1"/>
      <c r="B5" s="1"/>
      <c r="C5" s="1"/>
      <c r="D5" s="1"/>
      <c r="E5" s="1"/>
      <c r="F5" s="1"/>
      <c r="G5" s="1"/>
      <c r="H5" s="1"/>
      <c r="I5" s="1"/>
      <c r="J5" s="1"/>
      <c r="K5" s="1"/>
      <c r="L5" s="1"/>
      <c r="M5" s="7"/>
      <c r="N5" s="7"/>
      <c r="O5" s="7"/>
      <c r="Z5" s="16"/>
    </row>
    <row r="6" ht="15.75" customHeight="1">
      <c r="A6" s="1"/>
      <c r="B6" s="1"/>
      <c r="C6" s="18"/>
      <c r="D6" s="18"/>
      <c r="E6" s="18"/>
      <c r="F6" s="1"/>
      <c r="G6" s="1"/>
      <c r="H6" s="1"/>
      <c r="I6" s="1"/>
      <c r="J6" s="1"/>
      <c r="K6" s="1"/>
      <c r="L6" s="1"/>
      <c r="M6" s="7"/>
      <c r="N6" s="7" t="s">
        <v>23</v>
      </c>
      <c r="O6" s="7"/>
      <c r="Z6" s="16"/>
    </row>
    <row r="7" ht="15.75" customHeight="1">
      <c r="A7" s="15"/>
      <c r="B7" s="22" t="s">
        <v>28</v>
      </c>
      <c r="C7" s="24" t="s">
        <v>35</v>
      </c>
      <c r="D7" s="24" t="s">
        <v>35</v>
      </c>
      <c r="E7" s="25" t="s">
        <v>36</v>
      </c>
      <c r="F7" s="26" t="s">
        <v>37</v>
      </c>
      <c r="G7" s="22" t="s">
        <v>38</v>
      </c>
      <c r="H7" s="22" t="s">
        <v>39</v>
      </c>
      <c r="I7" s="22" t="s">
        <v>40</v>
      </c>
      <c r="J7" s="22" t="s">
        <v>41</v>
      </c>
      <c r="K7" s="22" t="s">
        <v>42</v>
      </c>
      <c r="L7" s="22" t="s">
        <v>43</v>
      </c>
      <c r="M7" s="27" t="s">
        <v>44</v>
      </c>
      <c r="N7" s="28">
        <f>NOW()</f>
        <v>46301.60482</v>
      </c>
      <c r="O7" s="28"/>
      <c r="P7" s="22" t="s">
        <v>28</v>
      </c>
      <c r="Q7" s="24" t="s">
        <v>35</v>
      </c>
      <c r="R7" s="24" t="s">
        <v>35</v>
      </c>
      <c r="S7" s="25" t="s">
        <v>36</v>
      </c>
      <c r="T7" s="26" t="s">
        <v>37</v>
      </c>
      <c r="U7" s="22" t="s">
        <v>38</v>
      </c>
      <c r="V7" s="22" t="s">
        <v>39</v>
      </c>
      <c r="W7" s="22" t="s">
        <v>40</v>
      </c>
      <c r="X7" s="22" t="s">
        <v>41</v>
      </c>
      <c r="Y7" s="22" t="s">
        <v>42</v>
      </c>
      <c r="Z7" s="27" t="s">
        <v>43</v>
      </c>
      <c r="AA7" s="22" t="s">
        <v>44</v>
      </c>
    </row>
    <row r="8" ht="15.75" customHeight="1">
      <c r="A8" s="15"/>
      <c r="B8" s="31"/>
      <c r="C8" s="24" t="s">
        <v>45</v>
      </c>
      <c r="D8" s="24" t="s">
        <v>46</v>
      </c>
      <c r="E8" s="31"/>
      <c r="F8" s="34">
        <v>46332.0</v>
      </c>
      <c r="G8" s="31"/>
      <c r="H8" s="31"/>
      <c r="I8" s="31"/>
      <c r="J8" s="31"/>
      <c r="K8" s="31"/>
      <c r="L8" s="31"/>
      <c r="M8" s="31"/>
      <c r="N8" s="7"/>
      <c r="O8" s="7"/>
      <c r="P8" s="31"/>
      <c r="Q8" s="24" t="s">
        <v>45</v>
      </c>
      <c r="R8" s="24" t="s">
        <v>46</v>
      </c>
      <c r="S8" s="31"/>
      <c r="T8" s="36">
        <v>46333.0</v>
      </c>
      <c r="U8" s="31"/>
      <c r="V8" s="31"/>
      <c r="W8" s="31"/>
      <c r="X8" s="31"/>
      <c r="Y8" s="31"/>
      <c r="Z8" s="31"/>
      <c r="AA8" s="31"/>
    </row>
    <row r="9" ht="15.75" customHeight="1">
      <c r="A9" s="15"/>
      <c r="B9" s="38"/>
      <c r="C9" s="39">
        <v>0.5</v>
      </c>
      <c r="D9" s="42">
        <f t="shared" ref="D9:D26" si="1">+E9+C9</f>
        <v>0.5416666667</v>
      </c>
      <c r="E9" s="42">
        <v>0.041666666666666664</v>
      </c>
      <c r="F9" s="44" t="s">
        <v>47</v>
      </c>
      <c r="G9" s="47" t="s">
        <v>48</v>
      </c>
      <c r="H9" s="47" t="s">
        <v>51</v>
      </c>
      <c r="I9" s="47" t="s">
        <v>50</v>
      </c>
      <c r="J9" s="44"/>
      <c r="K9" s="38"/>
      <c r="L9" s="44" t="s">
        <v>52</v>
      </c>
      <c r="M9" s="44"/>
      <c r="N9" s="7"/>
      <c r="O9" s="7"/>
      <c r="P9" s="50"/>
      <c r="Q9" s="51">
        <v>0.6458333333333334</v>
      </c>
      <c r="R9" s="42">
        <f t="shared" ref="R9:R10" si="2">+S9+Q9</f>
        <v>0.6666666667</v>
      </c>
      <c r="S9" s="52">
        <v>0.020833333333333332</v>
      </c>
      <c r="T9" s="44" t="s">
        <v>47</v>
      </c>
      <c r="U9" s="47" t="s">
        <v>48</v>
      </c>
      <c r="V9" s="47" t="s">
        <v>51</v>
      </c>
      <c r="W9" s="47" t="s">
        <v>50</v>
      </c>
      <c r="X9" s="54" t="s">
        <v>53</v>
      </c>
      <c r="Y9" s="38"/>
      <c r="Z9" s="44" t="s">
        <v>52</v>
      </c>
      <c r="AA9" s="55"/>
    </row>
    <row r="10" ht="15.75" customHeight="1">
      <c r="A10" s="15"/>
      <c r="B10" s="38"/>
      <c r="C10" s="42">
        <f t="shared" ref="C10:C26" si="3">D9</f>
        <v>0.5416666667</v>
      </c>
      <c r="D10" s="42">
        <f t="shared" si="1"/>
        <v>0.5451388889</v>
      </c>
      <c r="E10" s="42">
        <v>0.003472222222222222</v>
      </c>
      <c r="F10" s="44" t="s">
        <v>54</v>
      </c>
      <c r="G10" s="47" t="s">
        <v>48</v>
      </c>
      <c r="H10" s="47" t="s">
        <v>55</v>
      </c>
      <c r="I10" s="47" t="s">
        <v>56</v>
      </c>
      <c r="J10" s="44" t="s">
        <v>57</v>
      </c>
      <c r="K10" s="58" t="s">
        <v>58</v>
      </c>
      <c r="L10" s="55" t="s">
        <v>52</v>
      </c>
      <c r="M10" s="44"/>
      <c r="N10" s="59" t="s">
        <v>59</v>
      </c>
      <c r="O10" s="7"/>
      <c r="P10" s="50"/>
      <c r="Q10" s="42">
        <f>R9</f>
        <v>0.6666666667</v>
      </c>
      <c r="R10" s="42">
        <f t="shared" si="2"/>
        <v>0.75</v>
      </c>
      <c r="S10" s="52">
        <v>0.08333333333333333</v>
      </c>
      <c r="T10" s="54" t="s">
        <v>62</v>
      </c>
      <c r="U10" s="47" t="s">
        <v>48</v>
      </c>
      <c r="V10" s="47" t="s">
        <v>55</v>
      </c>
      <c r="W10" s="63" t="s">
        <v>50</v>
      </c>
      <c r="X10" s="54" t="s">
        <v>65</v>
      </c>
      <c r="Y10" s="67" t="s">
        <v>66</v>
      </c>
      <c r="Z10" s="54" t="s">
        <v>69</v>
      </c>
      <c r="AA10" s="54" t="s">
        <v>71</v>
      </c>
      <c r="AB10" s="70" t="s">
        <v>72</v>
      </c>
    </row>
    <row r="11" ht="15.75" customHeight="1">
      <c r="A11" s="15"/>
      <c r="B11" s="38"/>
      <c r="C11" s="39">
        <f t="shared" si="3"/>
        <v>0.5451388889</v>
      </c>
      <c r="D11" s="42">
        <f t="shared" si="1"/>
        <v>0.5486111111</v>
      </c>
      <c r="E11" s="42">
        <v>0.003472222222222222</v>
      </c>
      <c r="F11" s="44" t="s">
        <v>76</v>
      </c>
      <c r="G11" s="47" t="s">
        <v>48</v>
      </c>
      <c r="H11" s="47" t="s">
        <v>55</v>
      </c>
      <c r="I11" s="47" t="s">
        <v>78</v>
      </c>
      <c r="J11" s="44" t="s">
        <v>79</v>
      </c>
      <c r="K11" s="58" t="s">
        <v>58</v>
      </c>
      <c r="L11" s="55" t="s">
        <v>52</v>
      </c>
      <c r="M11" s="44"/>
      <c r="N11" s="7"/>
      <c r="O11" s="7"/>
      <c r="P11" s="1"/>
      <c r="Q11" s="75"/>
      <c r="R11" s="75"/>
      <c r="S11" s="77"/>
      <c r="T11" s="79"/>
      <c r="U11" s="81"/>
      <c r="V11" s="81"/>
      <c r="W11" s="82"/>
      <c r="X11" s="83"/>
      <c r="Y11" s="85"/>
      <c r="Z11" s="79"/>
      <c r="AA11" s="86"/>
    </row>
    <row r="12" ht="15.75" customHeight="1">
      <c r="A12" s="15"/>
      <c r="B12" s="88"/>
      <c r="C12" s="91">
        <f t="shared" si="3"/>
        <v>0.5486111111</v>
      </c>
      <c r="D12" s="91">
        <f t="shared" si="1"/>
        <v>0.55</v>
      </c>
      <c r="E12" s="91">
        <v>0.001388888888888889</v>
      </c>
      <c r="F12" s="95" t="s">
        <v>88</v>
      </c>
      <c r="G12" s="98" t="s">
        <v>89</v>
      </c>
      <c r="H12" s="98" t="s">
        <v>55</v>
      </c>
      <c r="I12" s="98" t="s">
        <v>90</v>
      </c>
      <c r="J12" s="95" t="s">
        <v>91</v>
      </c>
      <c r="K12" s="88"/>
      <c r="L12" s="101" t="s">
        <v>52</v>
      </c>
      <c r="M12" s="104" t="s">
        <v>93</v>
      </c>
      <c r="N12" s="59" t="s">
        <v>24</v>
      </c>
      <c r="O12" s="7"/>
      <c r="P12" s="1"/>
      <c r="Q12" s="75"/>
      <c r="R12" s="75"/>
      <c r="S12" s="77"/>
      <c r="T12" s="83"/>
      <c r="U12" s="81"/>
      <c r="V12" s="81"/>
      <c r="W12" s="82"/>
      <c r="X12" s="83"/>
      <c r="Y12" s="85"/>
      <c r="Z12" s="79"/>
      <c r="AA12" s="86"/>
    </row>
    <row r="13" ht="15.75" customHeight="1">
      <c r="A13" s="15"/>
      <c r="B13" s="38"/>
      <c r="C13" s="42">
        <f t="shared" si="3"/>
        <v>0.55</v>
      </c>
      <c r="D13" s="42">
        <f t="shared" si="1"/>
        <v>0.5534722222</v>
      </c>
      <c r="E13" s="42">
        <v>0.003472222222222222</v>
      </c>
      <c r="F13" s="44" t="s">
        <v>60</v>
      </c>
      <c r="G13" s="47" t="s">
        <v>48</v>
      </c>
      <c r="H13" s="47" t="s">
        <v>98</v>
      </c>
      <c r="I13" s="47" t="s">
        <v>50</v>
      </c>
      <c r="J13" s="54" t="s">
        <v>99</v>
      </c>
      <c r="K13" s="58" t="s">
        <v>80</v>
      </c>
      <c r="L13" s="55" t="s">
        <v>52</v>
      </c>
      <c r="M13" s="44"/>
      <c r="N13" s="59" t="s">
        <v>100</v>
      </c>
      <c r="O13" s="7"/>
      <c r="P13" s="1"/>
      <c r="Q13" s="75"/>
      <c r="R13" s="75"/>
      <c r="S13" s="77"/>
      <c r="T13" s="79"/>
      <c r="U13" s="81"/>
      <c r="V13" s="81"/>
      <c r="W13" s="82"/>
      <c r="X13" s="83"/>
      <c r="Y13" s="85"/>
      <c r="Z13" s="79"/>
      <c r="AA13" s="86"/>
    </row>
    <row r="14" ht="15.75" customHeight="1">
      <c r="A14" s="15"/>
      <c r="B14" s="108"/>
      <c r="C14" s="111">
        <f t="shared" si="3"/>
        <v>0.5534722222</v>
      </c>
      <c r="D14" s="111">
        <f t="shared" si="1"/>
        <v>0.5555555556</v>
      </c>
      <c r="E14" s="111">
        <v>0.0020833333333333333</v>
      </c>
      <c r="F14" s="114" t="s">
        <v>106</v>
      </c>
      <c r="G14" s="116" t="s">
        <v>108</v>
      </c>
      <c r="H14" s="116" t="s">
        <v>49</v>
      </c>
      <c r="I14" s="116" t="s">
        <v>111</v>
      </c>
      <c r="J14" s="114" t="s">
        <v>112</v>
      </c>
      <c r="K14" s="136" t="s">
        <v>123</v>
      </c>
      <c r="L14" s="114" t="s">
        <v>131</v>
      </c>
      <c r="M14" s="114" t="s">
        <v>132</v>
      </c>
      <c r="N14" s="7"/>
      <c r="O14" s="7"/>
      <c r="P14" s="1"/>
      <c r="Q14" s="75"/>
      <c r="R14" s="75"/>
      <c r="S14" s="77"/>
      <c r="T14" s="83"/>
      <c r="U14" s="81"/>
      <c r="V14" s="81"/>
      <c r="W14" s="82"/>
      <c r="X14" s="83"/>
      <c r="Y14" s="85"/>
      <c r="Z14" s="79"/>
      <c r="AA14" s="86"/>
    </row>
    <row r="15" ht="15.75" customHeight="1">
      <c r="A15" s="15"/>
      <c r="B15" s="48"/>
      <c r="C15" s="39">
        <f t="shared" si="3"/>
        <v>0.5555555556</v>
      </c>
      <c r="D15" s="39">
        <f t="shared" si="1"/>
        <v>0.5625</v>
      </c>
      <c r="E15" s="39">
        <v>0.006944444444444444</v>
      </c>
      <c r="F15" s="139" t="s">
        <v>139</v>
      </c>
      <c r="G15" s="90" t="s">
        <v>48</v>
      </c>
      <c r="H15" s="90" t="s">
        <v>55</v>
      </c>
      <c r="I15" s="90" t="s">
        <v>50</v>
      </c>
      <c r="J15" s="139" t="s">
        <v>140</v>
      </c>
      <c r="K15" s="48"/>
      <c r="L15" s="49" t="s">
        <v>52</v>
      </c>
      <c r="M15" s="139" t="s">
        <v>141</v>
      </c>
      <c r="N15" s="59"/>
      <c r="O15" s="59"/>
      <c r="P15" s="1"/>
      <c r="Q15" s="1"/>
      <c r="R15" s="1"/>
      <c r="S15" s="1"/>
      <c r="T15" s="1"/>
      <c r="U15" s="1"/>
      <c r="V15" s="1"/>
      <c r="W15" s="1"/>
      <c r="X15" s="1"/>
      <c r="Y15" s="1"/>
      <c r="Z15" s="11"/>
      <c r="AA15" s="1"/>
    </row>
    <row r="16" ht="15.75" customHeight="1">
      <c r="A16" s="15"/>
      <c r="B16" s="108"/>
      <c r="C16" s="111">
        <f t="shared" si="3"/>
        <v>0.5625</v>
      </c>
      <c r="D16" s="111">
        <f t="shared" si="1"/>
        <v>0.5694444444</v>
      </c>
      <c r="E16" s="111">
        <v>0.006944444444444444</v>
      </c>
      <c r="F16" s="114" t="s">
        <v>142</v>
      </c>
      <c r="G16" s="116" t="s">
        <v>144</v>
      </c>
      <c r="H16" s="116" t="s">
        <v>49</v>
      </c>
      <c r="I16" s="116" t="s">
        <v>145</v>
      </c>
      <c r="J16" s="114" t="s">
        <v>146</v>
      </c>
      <c r="K16" s="136" t="s">
        <v>151</v>
      </c>
      <c r="L16" s="114" t="s">
        <v>158</v>
      </c>
      <c r="M16" s="114" t="s">
        <v>132</v>
      </c>
      <c r="N16" s="7"/>
      <c r="O16" s="7"/>
      <c r="P16" s="1"/>
      <c r="Q16" s="1"/>
      <c r="R16" s="1"/>
      <c r="S16" s="1"/>
      <c r="T16" s="154"/>
      <c r="U16" s="154"/>
      <c r="V16" s="154"/>
      <c r="W16" s="1"/>
      <c r="X16" s="1"/>
      <c r="Y16" s="1"/>
      <c r="Z16" s="11"/>
      <c r="AA16" s="1"/>
    </row>
    <row r="17" ht="184.5" customHeight="1">
      <c r="A17" s="156"/>
      <c r="B17" s="108"/>
      <c r="C17" s="111">
        <f t="shared" si="3"/>
        <v>0.5694444444</v>
      </c>
      <c r="D17" s="111">
        <f t="shared" si="1"/>
        <v>0.5763888889</v>
      </c>
      <c r="E17" s="111">
        <v>0.006944444444444444</v>
      </c>
      <c r="F17" s="114" t="s">
        <v>161</v>
      </c>
      <c r="G17" s="116" t="s">
        <v>144</v>
      </c>
      <c r="H17" s="116" t="s">
        <v>49</v>
      </c>
      <c r="I17" s="116" t="s">
        <v>162</v>
      </c>
      <c r="J17" s="114" t="s">
        <v>163</v>
      </c>
      <c r="K17" s="167" t="s">
        <v>164</v>
      </c>
      <c r="L17" s="168" t="s">
        <v>168</v>
      </c>
      <c r="M17" s="114" t="s">
        <v>132</v>
      </c>
      <c r="N17" s="169" t="s">
        <v>24</v>
      </c>
      <c r="O17" s="170"/>
      <c r="P17" s="171"/>
      <c r="Q17" s="171"/>
      <c r="R17" s="171"/>
      <c r="S17" s="171"/>
      <c r="T17" s="154"/>
      <c r="U17" s="154"/>
      <c r="V17" s="154"/>
      <c r="W17" s="173"/>
      <c r="X17" s="174"/>
      <c r="Y17" s="176"/>
      <c r="Z17" s="174"/>
      <c r="AA17" s="178"/>
      <c r="AB17" s="171"/>
    </row>
    <row r="18" ht="15.75" customHeight="1">
      <c r="A18" s="15"/>
      <c r="B18" s="108"/>
      <c r="C18" s="111">
        <f t="shared" si="3"/>
        <v>0.5763888889</v>
      </c>
      <c r="D18" s="111">
        <f t="shared" si="1"/>
        <v>0.5833333333</v>
      </c>
      <c r="E18" s="182">
        <v>0.006944444444444444</v>
      </c>
      <c r="F18" s="184" t="s">
        <v>178</v>
      </c>
      <c r="G18" s="116" t="s">
        <v>144</v>
      </c>
      <c r="H18" s="116" t="s">
        <v>49</v>
      </c>
      <c r="I18" s="185" t="s">
        <v>179</v>
      </c>
      <c r="J18" s="184" t="s">
        <v>183</v>
      </c>
      <c r="K18" s="186"/>
      <c r="L18" s="114"/>
      <c r="M18" s="114"/>
      <c r="N18" s="187"/>
      <c r="O18" s="187"/>
      <c r="P18" s="171"/>
      <c r="Q18" s="171"/>
      <c r="R18" s="171"/>
      <c r="S18" s="171"/>
      <c r="T18" s="154"/>
      <c r="U18" s="154"/>
      <c r="V18" s="154"/>
      <c r="W18" s="1"/>
      <c r="X18" s="1"/>
      <c r="Y18" s="1"/>
      <c r="Z18" s="11"/>
      <c r="AA18" s="1"/>
    </row>
    <row r="19" ht="15.75" customHeight="1">
      <c r="A19" s="15"/>
      <c r="B19" s="108"/>
      <c r="C19" s="111">
        <f t="shared" si="3"/>
        <v>0.5833333333</v>
      </c>
      <c r="D19" s="111">
        <f t="shared" si="1"/>
        <v>0.5902777778</v>
      </c>
      <c r="E19" s="182">
        <v>0.006944444444444444</v>
      </c>
      <c r="F19" s="184" t="s">
        <v>189</v>
      </c>
      <c r="G19" s="116" t="s">
        <v>144</v>
      </c>
      <c r="H19" s="116" t="s">
        <v>49</v>
      </c>
      <c r="I19" s="185" t="s">
        <v>191</v>
      </c>
      <c r="J19" s="184" t="s">
        <v>193</v>
      </c>
      <c r="K19" s="167" t="s">
        <v>194</v>
      </c>
      <c r="L19" s="114" t="s">
        <v>158</v>
      </c>
      <c r="M19" s="114" t="s">
        <v>132</v>
      </c>
      <c r="N19" s="187" t="s">
        <v>199</v>
      </c>
      <c r="O19" s="187"/>
      <c r="P19" s="171"/>
      <c r="Q19" s="171"/>
      <c r="R19" s="171"/>
      <c r="S19" s="171"/>
      <c r="T19" s="154"/>
      <c r="U19" s="154"/>
      <c r="V19" s="154"/>
      <c r="W19" s="1"/>
      <c r="X19" s="1"/>
      <c r="Y19" s="1"/>
      <c r="Z19" s="11"/>
      <c r="AA19" s="1"/>
    </row>
    <row r="20" ht="15.75" customHeight="1">
      <c r="A20" s="15"/>
      <c r="B20" s="88"/>
      <c r="C20" s="91">
        <f t="shared" si="3"/>
        <v>0.5902777778</v>
      </c>
      <c r="D20" s="91">
        <f t="shared" si="1"/>
        <v>0.5972222222</v>
      </c>
      <c r="E20" s="91">
        <v>0.006944444444444444</v>
      </c>
      <c r="F20" s="95" t="s">
        <v>202</v>
      </c>
      <c r="G20" s="98" t="s">
        <v>144</v>
      </c>
      <c r="H20" s="98" t="s">
        <v>49</v>
      </c>
      <c r="I20" s="98" t="s">
        <v>204</v>
      </c>
      <c r="J20" s="104" t="s">
        <v>205</v>
      </c>
      <c r="K20" s="88"/>
      <c r="L20" s="95" t="s">
        <v>102</v>
      </c>
      <c r="M20" s="95" t="s">
        <v>206</v>
      </c>
      <c r="N20" s="187" t="s">
        <v>207</v>
      </c>
      <c r="O20" s="187"/>
      <c r="P20" s="171"/>
      <c r="Q20" s="171"/>
      <c r="R20" s="192" t="s">
        <v>208</v>
      </c>
      <c r="S20" s="171"/>
      <c r="T20" s="154"/>
      <c r="U20" s="154"/>
      <c r="V20" s="154"/>
      <c r="W20" s="1"/>
      <c r="X20" s="1"/>
      <c r="Y20" s="1"/>
      <c r="Z20" s="11"/>
      <c r="AA20" s="1"/>
    </row>
    <row r="21" ht="15.75" customHeight="1">
      <c r="A21" s="15"/>
      <c r="B21" s="48"/>
      <c r="C21" s="39">
        <f t="shared" si="3"/>
        <v>0.5972222222</v>
      </c>
      <c r="D21" s="39">
        <f t="shared" si="1"/>
        <v>0.6180555556</v>
      </c>
      <c r="E21" s="39">
        <v>0.020833333333333332</v>
      </c>
      <c r="F21" s="194" t="s">
        <v>210</v>
      </c>
      <c r="G21" s="90" t="s">
        <v>48</v>
      </c>
      <c r="H21" s="90" t="s">
        <v>55</v>
      </c>
      <c r="I21" s="90" t="s">
        <v>215</v>
      </c>
      <c r="J21" s="139" t="s">
        <v>216</v>
      </c>
      <c r="K21" s="48"/>
      <c r="L21" s="43" t="s">
        <v>102</v>
      </c>
      <c r="M21" s="139" t="s">
        <v>217</v>
      </c>
      <c r="N21" s="83" t="s">
        <v>218</v>
      </c>
      <c r="O21" s="7"/>
      <c r="P21" s="171"/>
      <c r="Q21" s="171"/>
      <c r="R21" s="171"/>
      <c r="S21" s="171"/>
      <c r="T21" s="154"/>
      <c r="U21" s="154"/>
      <c r="V21" s="154"/>
      <c r="W21" s="1"/>
      <c r="X21" s="1"/>
      <c r="Y21" s="1"/>
      <c r="Z21" s="11"/>
      <c r="AA21" s="1"/>
    </row>
    <row r="22" ht="15.75" customHeight="1">
      <c r="A22" s="15"/>
      <c r="B22" s="48"/>
      <c r="C22" s="39">
        <f t="shared" si="3"/>
        <v>0.6180555556</v>
      </c>
      <c r="D22" s="42">
        <f t="shared" si="1"/>
        <v>0.6388888889</v>
      </c>
      <c r="E22" s="42">
        <v>0.020833333333333332</v>
      </c>
      <c r="F22" s="43" t="s">
        <v>219</v>
      </c>
      <c r="G22" s="47" t="s">
        <v>48</v>
      </c>
      <c r="H22" s="47" t="s">
        <v>55</v>
      </c>
      <c r="I22" s="47" t="s">
        <v>196</v>
      </c>
      <c r="J22" s="43" t="s">
        <v>220</v>
      </c>
      <c r="K22" s="48"/>
      <c r="L22" s="43" t="s">
        <v>198</v>
      </c>
      <c r="M22" s="43" t="s">
        <v>222</v>
      </c>
      <c r="N22" s="59" t="s">
        <v>223</v>
      </c>
      <c r="O22" s="7"/>
      <c r="P22" s="1"/>
      <c r="Q22" s="1"/>
      <c r="R22" s="1"/>
      <c r="S22" s="1"/>
      <c r="T22" s="154"/>
      <c r="U22" s="154"/>
      <c r="V22" s="154"/>
      <c r="W22" s="1"/>
      <c r="X22" s="1"/>
      <c r="Y22" s="1"/>
      <c r="Z22" s="11"/>
      <c r="AA22" s="1"/>
    </row>
    <row r="23" ht="15.75" customHeight="1">
      <c r="A23" s="15"/>
      <c r="B23" s="195"/>
      <c r="C23" s="196">
        <f t="shared" si="3"/>
        <v>0.6388888889</v>
      </c>
      <c r="D23" s="196">
        <f t="shared" si="1"/>
        <v>0.7222222222</v>
      </c>
      <c r="E23" s="196">
        <v>0.08333333333333333</v>
      </c>
      <c r="F23" s="193" t="s">
        <v>224</v>
      </c>
      <c r="G23" s="113" t="s">
        <v>48</v>
      </c>
      <c r="H23" s="113" t="s">
        <v>55</v>
      </c>
      <c r="I23" s="113" t="s">
        <v>212</v>
      </c>
      <c r="J23" s="193" t="s">
        <v>227</v>
      </c>
      <c r="K23" s="195"/>
      <c r="L23" s="193" t="s">
        <v>228</v>
      </c>
      <c r="M23" s="109" t="s">
        <v>229</v>
      </c>
      <c r="N23" s="59" t="s">
        <v>230</v>
      </c>
      <c r="O23" s="7"/>
      <c r="P23" s="1"/>
      <c r="Q23" s="1"/>
      <c r="R23" s="1"/>
      <c r="S23" s="1"/>
      <c r="T23" s="174"/>
      <c r="U23" s="197"/>
      <c r="V23" s="197"/>
      <c r="W23" s="197"/>
      <c r="X23" s="174"/>
      <c r="Y23" s="198"/>
      <c r="Z23" s="174"/>
      <c r="AA23" s="198"/>
    </row>
    <row r="24" ht="15.75" customHeight="1">
      <c r="A24" s="15"/>
      <c r="B24" s="135"/>
      <c r="C24" s="120">
        <f t="shared" si="3"/>
        <v>0.7222222222</v>
      </c>
      <c r="D24" s="120">
        <f t="shared" si="1"/>
        <v>0.7326388889</v>
      </c>
      <c r="E24" s="120">
        <v>0.010416666666666666</v>
      </c>
      <c r="F24" s="122" t="s">
        <v>119</v>
      </c>
      <c r="G24" s="123" t="s">
        <v>48</v>
      </c>
      <c r="H24" s="123" t="s">
        <v>49</v>
      </c>
      <c r="I24" s="123" t="s">
        <v>50</v>
      </c>
      <c r="J24" s="129" t="s">
        <v>160</v>
      </c>
      <c r="K24" s="135"/>
      <c r="L24" s="122" t="s">
        <v>52</v>
      </c>
      <c r="M24" s="122"/>
      <c r="N24" s="7"/>
      <c r="O24" s="7"/>
      <c r="P24" s="1"/>
      <c r="Q24" s="1"/>
      <c r="R24" s="1"/>
      <c r="S24" s="1"/>
      <c r="T24" s="154"/>
      <c r="U24" s="154"/>
      <c r="V24" s="154"/>
      <c r="W24" s="1"/>
      <c r="X24" s="1"/>
      <c r="Y24" s="1"/>
      <c r="Z24" s="11"/>
      <c r="AA24" s="1"/>
    </row>
    <row r="25" ht="15.75" customHeight="1">
      <c r="A25" s="15"/>
      <c r="B25" s="164"/>
      <c r="C25" s="160">
        <f t="shared" si="3"/>
        <v>0.7326388889</v>
      </c>
      <c r="D25" s="160">
        <f t="shared" si="1"/>
        <v>0.7743055556</v>
      </c>
      <c r="E25" s="160">
        <v>0.041666666666666664</v>
      </c>
      <c r="F25" s="161" t="s">
        <v>165</v>
      </c>
      <c r="G25" s="163" t="s">
        <v>48</v>
      </c>
      <c r="H25" s="163" t="s">
        <v>49</v>
      </c>
      <c r="I25" s="163" t="s">
        <v>50</v>
      </c>
      <c r="J25" s="164"/>
      <c r="K25" s="164"/>
      <c r="L25" s="161" t="s">
        <v>52</v>
      </c>
      <c r="M25" s="199"/>
      <c r="N25" s="7"/>
      <c r="O25" s="7"/>
      <c r="P25" s="1"/>
      <c r="Q25" s="1"/>
      <c r="R25" s="1"/>
      <c r="S25" s="1"/>
      <c r="T25" s="154"/>
      <c r="U25" s="154"/>
      <c r="V25" s="154"/>
      <c r="W25" s="1"/>
      <c r="X25" s="1"/>
      <c r="Y25" s="1"/>
      <c r="Z25" s="11"/>
      <c r="AA25" s="1"/>
    </row>
    <row r="26" ht="15.75" customHeight="1">
      <c r="A26" s="1"/>
      <c r="B26" s="38"/>
      <c r="C26" s="42">
        <f t="shared" si="3"/>
        <v>0.7743055556</v>
      </c>
      <c r="D26" s="42">
        <f t="shared" si="1"/>
        <v>0.9236111111</v>
      </c>
      <c r="E26" s="200">
        <v>0.14930555555555555</v>
      </c>
      <c r="F26" s="139" t="s">
        <v>231</v>
      </c>
      <c r="G26" s="47" t="s">
        <v>48</v>
      </c>
      <c r="H26" s="47" t="s">
        <v>49</v>
      </c>
      <c r="I26" s="47" t="s">
        <v>50</v>
      </c>
      <c r="J26" s="55" t="s">
        <v>232</v>
      </c>
      <c r="K26" s="38"/>
      <c r="L26" s="55" t="s">
        <v>102</v>
      </c>
      <c r="M26" s="139" t="s">
        <v>233</v>
      </c>
      <c r="N26" s="7"/>
      <c r="O26" s="7"/>
      <c r="P26" s="1"/>
      <c r="Q26" s="1"/>
      <c r="R26" s="1"/>
      <c r="S26" s="1"/>
      <c r="T26" s="154"/>
      <c r="U26" s="154"/>
      <c r="V26" s="154"/>
      <c r="W26" s="1"/>
      <c r="X26" s="1"/>
      <c r="Y26" s="1"/>
      <c r="Z26" s="11"/>
      <c r="AA26" s="1"/>
    </row>
    <row r="27" ht="15.75" customHeight="1">
      <c r="A27" s="1"/>
      <c r="B27" s="1"/>
      <c r="C27" s="1"/>
      <c r="D27" s="1"/>
      <c r="E27" s="1"/>
      <c r="F27" s="1"/>
      <c r="G27" s="1"/>
      <c r="H27" s="1"/>
      <c r="I27" s="1"/>
      <c r="J27" s="1"/>
      <c r="K27" s="1"/>
      <c r="L27" s="1"/>
      <c r="M27" s="7"/>
      <c r="N27" s="7"/>
      <c r="O27" s="7"/>
      <c r="P27" s="1"/>
      <c r="Q27" s="1"/>
      <c r="R27" s="1"/>
      <c r="S27" s="1"/>
      <c r="T27" s="154"/>
      <c r="U27" s="154"/>
      <c r="V27" s="154"/>
      <c r="W27" s="1"/>
      <c r="X27" s="1"/>
      <c r="Y27" s="1"/>
      <c r="Z27" s="11"/>
      <c r="AA27" s="1"/>
    </row>
    <row r="28" ht="15.75" customHeight="1">
      <c r="A28" s="1"/>
      <c r="B28" s="1"/>
      <c r="C28" s="1"/>
      <c r="D28" s="1"/>
      <c r="E28" s="1"/>
      <c r="F28" s="1"/>
      <c r="G28" s="1"/>
      <c r="H28" s="1"/>
      <c r="I28" s="1"/>
      <c r="J28" s="1"/>
      <c r="K28" s="1"/>
      <c r="L28" s="1"/>
      <c r="M28" s="7"/>
      <c r="N28" s="7"/>
      <c r="O28" s="7"/>
      <c r="P28" s="1"/>
      <c r="Q28" s="1"/>
      <c r="R28" s="1"/>
      <c r="S28" s="1"/>
      <c r="T28" s="154"/>
      <c r="U28" s="154"/>
      <c r="V28" s="154"/>
      <c r="W28" s="1"/>
      <c r="X28" s="1"/>
      <c r="Y28" s="1"/>
      <c r="Z28" s="11"/>
      <c r="AA28" s="1"/>
    </row>
    <row r="29" ht="15.75" customHeight="1">
      <c r="A29" s="1"/>
      <c r="B29" s="1"/>
      <c r="C29" s="1"/>
      <c r="D29" s="1"/>
      <c r="E29" s="1"/>
      <c r="F29" s="1"/>
      <c r="G29" s="1"/>
      <c r="H29" s="1"/>
      <c r="I29" s="1"/>
      <c r="J29" s="1"/>
      <c r="K29" s="1"/>
      <c r="L29" s="1"/>
      <c r="M29" s="7"/>
      <c r="N29" s="7"/>
      <c r="O29" s="7"/>
      <c r="P29" s="1"/>
      <c r="Q29" s="1"/>
      <c r="R29" s="1"/>
      <c r="S29" s="1"/>
      <c r="T29" s="154"/>
      <c r="U29" s="154"/>
      <c r="V29" s="154"/>
      <c r="W29" s="1"/>
      <c r="X29" s="1"/>
      <c r="Y29" s="1"/>
      <c r="Z29" s="11"/>
      <c r="AA29" s="1"/>
    </row>
    <row r="30" ht="15.75" customHeight="1">
      <c r="A30" s="1"/>
      <c r="B30" s="1"/>
      <c r="C30" s="1"/>
      <c r="D30" s="1"/>
      <c r="E30" s="1"/>
      <c r="F30" s="3" t="s">
        <v>234</v>
      </c>
      <c r="G30" s="1"/>
      <c r="H30" s="1"/>
      <c r="I30" s="1"/>
      <c r="J30" s="1"/>
      <c r="K30" s="1"/>
      <c r="L30" s="1"/>
      <c r="M30" s="7"/>
      <c r="N30" s="7"/>
      <c r="O30" s="7"/>
      <c r="P30" s="1"/>
      <c r="Q30" s="1"/>
      <c r="R30" s="1"/>
      <c r="S30" s="1"/>
      <c r="T30" s="154"/>
      <c r="U30" s="154"/>
      <c r="V30" s="154"/>
      <c r="W30" s="1"/>
      <c r="X30" s="1"/>
      <c r="Y30" s="1"/>
      <c r="Z30" s="11"/>
      <c r="AA30" s="1"/>
    </row>
    <row r="31" ht="15.75" customHeight="1">
      <c r="A31" s="1"/>
      <c r="B31" s="1"/>
      <c r="C31" s="1"/>
      <c r="D31" s="1"/>
      <c r="E31" s="1"/>
      <c r="F31" s="3" t="s">
        <v>235</v>
      </c>
      <c r="G31" s="1"/>
      <c r="H31" s="1"/>
      <c r="I31" s="1"/>
      <c r="J31" s="1"/>
      <c r="K31" s="1"/>
      <c r="L31" s="1"/>
      <c r="M31" s="7"/>
      <c r="N31" s="7"/>
      <c r="O31" s="7"/>
      <c r="P31" s="1"/>
      <c r="Q31" s="1"/>
      <c r="R31" s="1"/>
      <c r="S31" s="1"/>
      <c r="T31" s="154"/>
      <c r="U31" s="154"/>
      <c r="V31" s="154"/>
      <c r="W31" s="1"/>
      <c r="X31" s="1"/>
      <c r="Y31" s="1"/>
      <c r="Z31" s="11"/>
      <c r="AA31" s="1"/>
    </row>
    <row r="32" ht="15.75" customHeight="1">
      <c r="A32" s="1"/>
      <c r="B32" s="1"/>
      <c r="C32" s="1"/>
      <c r="D32" s="1"/>
      <c r="E32" s="1"/>
      <c r="F32" s="3"/>
      <c r="G32" s="3"/>
      <c r="H32" s="1"/>
      <c r="I32" s="3"/>
      <c r="J32" s="1"/>
      <c r="K32" s="1"/>
      <c r="L32" s="1"/>
      <c r="M32" s="7"/>
      <c r="N32" s="7"/>
      <c r="O32" s="7"/>
      <c r="P32" s="1"/>
      <c r="Q32" s="1"/>
      <c r="R32" s="1"/>
      <c r="S32" s="1"/>
      <c r="T32" s="154"/>
      <c r="U32" s="154"/>
      <c r="V32" s="154"/>
      <c r="W32" s="1"/>
      <c r="X32" s="1"/>
      <c r="Y32" s="1"/>
      <c r="Z32" s="11"/>
      <c r="AA32" s="1"/>
    </row>
    <row r="33" ht="15.75" customHeight="1">
      <c r="A33" s="1"/>
      <c r="B33" s="1"/>
      <c r="C33" s="1"/>
      <c r="D33" s="1"/>
      <c r="E33" s="3" t="s">
        <v>23</v>
      </c>
      <c r="F33" s="201">
        <f>NOW()</f>
        <v>46301.60482</v>
      </c>
      <c r="G33" s="1"/>
      <c r="H33" s="1"/>
      <c r="I33" s="1"/>
      <c r="J33" s="3" t="s">
        <v>236</v>
      </c>
      <c r="K33" s="1"/>
      <c r="L33" s="1"/>
      <c r="M33" s="7"/>
      <c r="N33" s="7"/>
      <c r="O33" s="7"/>
      <c r="P33" s="1"/>
      <c r="Q33" s="1"/>
      <c r="R33" s="1"/>
      <c r="S33" s="1"/>
      <c r="T33" s="171"/>
      <c r="U33" s="171"/>
      <c r="V33" s="171"/>
      <c r="W33" s="1"/>
      <c r="X33" s="1"/>
      <c r="Y33" s="1"/>
      <c r="Z33" s="11"/>
      <c r="AA33" s="1"/>
    </row>
    <row r="34" ht="15.75" customHeight="1">
      <c r="A34" s="1"/>
      <c r="B34" s="1"/>
      <c r="C34" s="1"/>
      <c r="D34" s="1"/>
      <c r="E34" s="1"/>
      <c r="F34" s="202" t="s">
        <v>237</v>
      </c>
      <c r="G34" s="1"/>
      <c r="H34" s="1"/>
      <c r="I34" s="1"/>
      <c r="J34" s="1"/>
      <c r="K34" s="1"/>
      <c r="L34" s="1"/>
      <c r="M34" s="7"/>
      <c r="N34" s="7"/>
      <c r="O34" s="7"/>
      <c r="P34" s="1"/>
      <c r="Q34" s="1"/>
      <c r="R34" s="1"/>
      <c r="S34" s="1"/>
      <c r="T34" s="1"/>
      <c r="U34" s="1"/>
      <c r="V34" s="1"/>
      <c r="W34" s="1"/>
      <c r="X34" s="1"/>
      <c r="Y34" s="1"/>
      <c r="Z34" s="11"/>
      <c r="AA34" s="1"/>
    </row>
    <row r="35" ht="15.75" customHeight="1">
      <c r="A35" s="1"/>
      <c r="B35" s="1"/>
      <c r="C35" s="1"/>
      <c r="D35" s="1"/>
      <c r="E35" s="1"/>
      <c r="F35" s="202" t="s">
        <v>238</v>
      </c>
      <c r="G35" s="1"/>
      <c r="H35" s="1"/>
      <c r="I35" s="3"/>
      <c r="J35" s="1"/>
      <c r="K35" s="1"/>
      <c r="L35" s="1"/>
      <c r="M35" s="7"/>
      <c r="N35" s="7"/>
      <c r="O35" s="7"/>
      <c r="P35" s="1"/>
      <c r="Q35" s="1"/>
      <c r="R35" s="1"/>
      <c r="S35" s="1"/>
      <c r="T35" s="1"/>
      <c r="U35" s="1"/>
      <c r="V35" s="1"/>
      <c r="W35" s="1"/>
      <c r="X35" s="1"/>
      <c r="Y35" s="1"/>
      <c r="Z35" s="11"/>
      <c r="AA35" s="1"/>
    </row>
    <row r="36" ht="15.75" customHeight="1">
      <c r="A36" s="1"/>
      <c r="B36" s="1"/>
      <c r="C36" s="1"/>
      <c r="D36" s="1"/>
      <c r="E36" s="1"/>
      <c r="F36" s="3"/>
      <c r="G36" s="3"/>
      <c r="H36" s="1"/>
      <c r="I36" s="1"/>
      <c r="J36" s="1"/>
      <c r="K36" s="1"/>
      <c r="L36" s="1"/>
      <c r="M36" s="7"/>
      <c r="N36" s="7"/>
      <c r="O36" s="7"/>
      <c r="P36" s="1"/>
      <c r="Q36" s="1"/>
      <c r="R36" s="1"/>
      <c r="S36" s="1"/>
      <c r="T36" s="1"/>
      <c r="U36" s="1"/>
      <c r="V36" s="1"/>
      <c r="W36" s="1"/>
      <c r="X36" s="1"/>
      <c r="Y36" s="1"/>
      <c r="Z36" s="11"/>
      <c r="AA36" s="1"/>
    </row>
    <row r="37" ht="15.75" customHeight="1">
      <c r="A37" s="1"/>
      <c r="B37" s="1"/>
      <c r="C37" s="1"/>
      <c r="D37" s="1"/>
      <c r="E37" s="1"/>
      <c r="F37" s="3"/>
      <c r="G37" s="1"/>
      <c r="H37" s="1"/>
      <c r="I37" s="1"/>
      <c r="J37" s="1"/>
      <c r="K37" s="1"/>
      <c r="L37" s="1"/>
      <c r="M37" s="7"/>
      <c r="N37" s="7"/>
      <c r="O37" s="7"/>
      <c r="P37" s="1"/>
      <c r="Q37" s="1"/>
      <c r="R37" s="1"/>
      <c r="S37" s="1"/>
      <c r="T37" s="1"/>
      <c r="U37" s="1"/>
      <c r="V37" s="1"/>
      <c r="W37" s="1"/>
      <c r="X37" s="1"/>
      <c r="Y37" s="1"/>
      <c r="Z37" s="11"/>
      <c r="AA37" s="1"/>
    </row>
    <row r="38" ht="15.75" customHeight="1">
      <c r="A38" s="1"/>
      <c r="B38" s="1"/>
      <c r="C38" s="1"/>
      <c r="D38" s="1"/>
      <c r="E38" s="1"/>
      <c r="F38" s="3"/>
      <c r="G38" s="1"/>
      <c r="H38" s="1"/>
      <c r="I38" s="1"/>
      <c r="J38" s="1"/>
      <c r="K38" s="1"/>
      <c r="L38" s="1"/>
      <c r="M38" s="7"/>
      <c r="N38" s="7"/>
      <c r="O38" s="7"/>
      <c r="P38" s="1"/>
      <c r="Q38" s="1"/>
      <c r="R38" s="1"/>
      <c r="S38" s="1"/>
      <c r="T38" s="1"/>
      <c r="U38" s="1"/>
      <c r="V38" s="1"/>
      <c r="W38" s="1"/>
      <c r="X38" s="1"/>
      <c r="Y38" s="1"/>
      <c r="Z38" s="11"/>
      <c r="AA38" s="1"/>
    </row>
    <row r="39" ht="15.75" customHeight="1">
      <c r="A39" s="1"/>
      <c r="B39" s="1"/>
      <c r="C39" s="1"/>
      <c r="D39" s="1"/>
      <c r="E39" s="1"/>
      <c r="F39" s="1"/>
      <c r="G39" s="1"/>
      <c r="H39" s="1"/>
      <c r="I39" s="1"/>
      <c r="J39" s="1"/>
      <c r="K39" s="1"/>
      <c r="L39" s="1"/>
      <c r="M39" s="7"/>
      <c r="N39" s="7"/>
      <c r="O39" s="7"/>
      <c r="P39" s="1"/>
      <c r="Q39" s="1"/>
      <c r="R39" s="1"/>
      <c r="S39" s="1"/>
      <c r="T39" s="1"/>
      <c r="U39" s="1"/>
      <c r="V39" s="1"/>
      <c r="W39" s="1"/>
      <c r="X39" s="1"/>
      <c r="Y39" s="1"/>
      <c r="Z39" s="11"/>
      <c r="AA39" s="1"/>
    </row>
    <row r="40" ht="15.75" customHeight="1">
      <c r="A40" s="1"/>
      <c r="B40" s="1"/>
      <c r="C40" s="1"/>
      <c r="D40" s="1"/>
      <c r="E40" s="1"/>
      <c r="F40" s="1"/>
      <c r="G40" s="1"/>
      <c r="H40" s="1"/>
      <c r="I40" s="1"/>
      <c r="J40" s="1"/>
      <c r="K40" s="1"/>
      <c r="L40" s="1"/>
      <c r="M40" s="7"/>
      <c r="N40" s="7"/>
      <c r="O40" s="7"/>
      <c r="P40" s="1"/>
      <c r="Q40" s="1"/>
      <c r="R40" s="1"/>
      <c r="S40" s="1"/>
      <c r="T40" s="1"/>
      <c r="U40" s="1"/>
      <c r="V40" s="1"/>
      <c r="W40" s="1"/>
      <c r="X40" s="1"/>
      <c r="Y40" s="1"/>
      <c r="Z40" s="11"/>
      <c r="AA40" s="1"/>
    </row>
    <row r="41" ht="15.75" customHeight="1">
      <c r="A41" s="1"/>
      <c r="B41" s="1"/>
      <c r="C41" s="1"/>
      <c r="D41" s="1"/>
      <c r="E41" s="1"/>
      <c r="F41" s="1"/>
      <c r="G41" s="1"/>
      <c r="H41" s="1"/>
      <c r="I41" s="1"/>
      <c r="J41" s="1"/>
      <c r="K41" s="1"/>
      <c r="L41" s="1"/>
      <c r="M41" s="7"/>
      <c r="N41" s="7"/>
      <c r="O41" s="7"/>
      <c r="P41" s="1"/>
      <c r="Q41" s="1"/>
      <c r="R41" s="1"/>
      <c r="S41" s="1"/>
      <c r="T41" s="1"/>
      <c r="U41" s="1"/>
      <c r="V41" s="1"/>
      <c r="W41" s="1"/>
      <c r="X41" s="1"/>
      <c r="Y41" s="1"/>
      <c r="Z41" s="11"/>
      <c r="AA41" s="1"/>
    </row>
    <row r="42" ht="15.75" customHeight="1">
      <c r="A42" s="1"/>
      <c r="B42" s="1"/>
      <c r="C42" s="1"/>
      <c r="D42" s="1"/>
      <c r="E42" s="1"/>
      <c r="F42" s="1"/>
      <c r="G42" s="1"/>
      <c r="H42" s="1"/>
      <c r="I42" s="1"/>
      <c r="J42" s="1"/>
      <c r="K42" s="1"/>
      <c r="L42" s="1"/>
      <c r="M42" s="7"/>
      <c r="N42" s="7"/>
      <c r="O42" s="7"/>
      <c r="P42" s="1"/>
      <c r="Q42" s="1"/>
      <c r="R42" s="1"/>
      <c r="S42" s="1"/>
      <c r="T42" s="1"/>
      <c r="U42" s="1"/>
      <c r="V42" s="1"/>
      <c r="W42" s="1"/>
      <c r="X42" s="1"/>
      <c r="Y42" s="1"/>
      <c r="Z42" s="11"/>
      <c r="AA42" s="1"/>
    </row>
    <row r="43" ht="15.75" customHeight="1">
      <c r="A43" s="1"/>
      <c r="B43" s="1"/>
      <c r="C43" s="1"/>
      <c r="D43" s="1"/>
      <c r="E43" s="1"/>
      <c r="F43" s="1"/>
      <c r="G43" s="1"/>
      <c r="H43" s="1"/>
      <c r="I43" s="1"/>
      <c r="J43" s="1"/>
      <c r="K43" s="1"/>
      <c r="L43" s="1"/>
      <c r="M43" s="7"/>
      <c r="N43" s="7"/>
      <c r="O43" s="7"/>
      <c r="P43" s="1"/>
      <c r="Q43" s="1"/>
      <c r="R43" s="1"/>
      <c r="S43" s="1"/>
      <c r="T43" s="1"/>
      <c r="U43" s="1"/>
      <c r="V43" s="1"/>
      <c r="W43" s="1"/>
      <c r="X43" s="1"/>
      <c r="Y43" s="1"/>
      <c r="Z43" s="11"/>
      <c r="AA43" s="1"/>
    </row>
    <row r="44" ht="15.75" customHeight="1">
      <c r="A44" s="1"/>
      <c r="B44" s="1"/>
      <c r="C44" s="1"/>
      <c r="D44" s="1"/>
      <c r="E44" s="1"/>
      <c r="F44" s="1"/>
      <c r="G44" s="1"/>
      <c r="H44" s="1"/>
      <c r="I44" s="1"/>
      <c r="J44" s="1"/>
      <c r="K44" s="1"/>
      <c r="L44" s="1"/>
      <c r="M44" s="7"/>
      <c r="N44" s="7"/>
      <c r="O44" s="7"/>
      <c r="P44" s="1"/>
      <c r="Q44" s="1"/>
      <c r="R44" s="1"/>
      <c r="S44" s="1"/>
      <c r="T44" s="1"/>
      <c r="U44" s="1"/>
      <c r="V44" s="1"/>
      <c r="W44" s="1"/>
      <c r="X44" s="1"/>
      <c r="Y44" s="1"/>
      <c r="Z44" s="11"/>
      <c r="AA44" s="1"/>
    </row>
    <row r="45" ht="15.75" customHeight="1">
      <c r="A45" s="1"/>
      <c r="B45" s="1"/>
      <c r="C45" s="1"/>
      <c r="D45" s="1"/>
      <c r="E45" s="1"/>
      <c r="F45" s="1"/>
      <c r="G45" s="1"/>
      <c r="H45" s="1"/>
      <c r="I45" s="1"/>
      <c r="J45" s="1"/>
      <c r="K45" s="1"/>
      <c r="L45" s="1"/>
      <c r="M45" s="7"/>
      <c r="N45" s="7"/>
      <c r="O45" s="7"/>
      <c r="P45" s="1"/>
      <c r="Q45" s="1"/>
      <c r="R45" s="1"/>
      <c r="S45" s="1"/>
      <c r="T45" s="1"/>
      <c r="U45" s="1"/>
      <c r="V45" s="1"/>
      <c r="W45" s="1"/>
      <c r="X45" s="1"/>
      <c r="Y45" s="1"/>
      <c r="Z45" s="11"/>
      <c r="AA45" s="1"/>
    </row>
    <row r="46" ht="15.75" customHeight="1">
      <c r="A46" s="1"/>
      <c r="B46" s="1"/>
      <c r="C46" s="1"/>
      <c r="D46" s="1"/>
      <c r="E46" s="1"/>
      <c r="F46" s="1"/>
      <c r="G46" s="1"/>
      <c r="H46" s="1"/>
      <c r="I46" s="1"/>
      <c r="J46" s="1"/>
      <c r="K46" s="1"/>
      <c r="L46" s="1"/>
      <c r="M46" s="7"/>
      <c r="N46" s="7"/>
      <c r="O46" s="7"/>
      <c r="P46" s="1"/>
      <c r="Q46" s="1"/>
      <c r="R46" s="1"/>
      <c r="S46" s="1"/>
      <c r="T46" s="1"/>
      <c r="U46" s="1"/>
      <c r="V46" s="1"/>
      <c r="W46" s="1"/>
      <c r="X46" s="1"/>
      <c r="Y46" s="1"/>
      <c r="Z46" s="11"/>
      <c r="AA46" s="1"/>
    </row>
    <row r="47" ht="15.75" customHeight="1">
      <c r="A47" s="1"/>
      <c r="B47" s="1"/>
      <c r="C47" s="1"/>
      <c r="D47" s="1"/>
      <c r="E47" s="1"/>
      <c r="F47" s="1"/>
      <c r="G47" s="1"/>
      <c r="H47" s="1"/>
      <c r="I47" s="1"/>
      <c r="J47" s="1"/>
      <c r="K47" s="1"/>
      <c r="L47" s="1"/>
      <c r="M47" s="7"/>
      <c r="N47" s="7"/>
      <c r="O47" s="7"/>
      <c r="P47" s="1"/>
      <c r="Q47" s="1"/>
      <c r="R47" s="1"/>
      <c r="S47" s="1"/>
      <c r="T47" s="1"/>
      <c r="U47" s="1"/>
      <c r="V47" s="1"/>
      <c r="W47" s="1"/>
      <c r="X47" s="1"/>
      <c r="Y47" s="1"/>
      <c r="Z47" s="11"/>
      <c r="AA47" s="1"/>
    </row>
    <row r="48" ht="15.75" customHeight="1">
      <c r="A48" s="1"/>
      <c r="B48" s="1"/>
      <c r="C48" s="1"/>
      <c r="D48" s="1"/>
      <c r="E48" s="1"/>
      <c r="F48" s="1"/>
      <c r="G48" s="1"/>
      <c r="H48" s="1"/>
      <c r="I48" s="1"/>
      <c r="J48" s="1"/>
      <c r="K48" s="1"/>
      <c r="L48" s="1"/>
      <c r="M48" s="7"/>
      <c r="N48" s="7"/>
      <c r="O48" s="7"/>
      <c r="P48" s="1"/>
      <c r="Q48" s="1"/>
      <c r="R48" s="1"/>
      <c r="S48" s="1"/>
      <c r="T48" s="1"/>
      <c r="U48" s="1"/>
      <c r="V48" s="1"/>
      <c r="W48" s="1"/>
      <c r="X48" s="1"/>
      <c r="Y48" s="1"/>
      <c r="Z48" s="11"/>
      <c r="AA48" s="1"/>
    </row>
    <row r="49" ht="15.75" customHeight="1">
      <c r="A49" s="1"/>
      <c r="B49" s="1"/>
      <c r="C49" s="1"/>
      <c r="D49" s="1"/>
      <c r="E49" s="1"/>
      <c r="F49" s="1"/>
      <c r="G49" s="1"/>
      <c r="H49" s="1"/>
      <c r="I49" s="1"/>
      <c r="J49" s="1"/>
      <c r="K49" s="1"/>
      <c r="L49" s="1"/>
      <c r="M49" s="7"/>
      <c r="N49" s="7"/>
      <c r="O49" s="7"/>
      <c r="P49" s="1"/>
      <c r="Q49" s="1"/>
      <c r="R49" s="1"/>
      <c r="S49" s="1"/>
      <c r="T49" s="1"/>
      <c r="U49" s="1"/>
      <c r="V49" s="1"/>
      <c r="W49" s="1"/>
      <c r="X49" s="1"/>
      <c r="Y49" s="1"/>
      <c r="Z49" s="11"/>
      <c r="AA49" s="1"/>
    </row>
    <row r="50" ht="15.75" customHeight="1">
      <c r="A50" s="1"/>
      <c r="B50" s="1"/>
      <c r="C50" s="1"/>
      <c r="D50" s="1"/>
      <c r="E50" s="1"/>
      <c r="F50" s="1"/>
      <c r="G50" s="1"/>
      <c r="H50" s="1"/>
      <c r="I50" s="1"/>
      <c r="J50" s="1"/>
      <c r="K50" s="1"/>
      <c r="L50" s="1"/>
      <c r="M50" s="7"/>
      <c r="N50" s="7"/>
      <c r="O50" s="7"/>
      <c r="P50" s="1"/>
      <c r="Q50" s="1"/>
      <c r="R50" s="1"/>
      <c r="S50" s="1"/>
      <c r="T50" s="1"/>
      <c r="U50" s="1"/>
      <c r="V50" s="1"/>
      <c r="W50" s="1"/>
      <c r="X50" s="1"/>
      <c r="Y50" s="1"/>
      <c r="Z50" s="11"/>
      <c r="AA50" s="1"/>
    </row>
    <row r="51" ht="15.75" customHeight="1">
      <c r="A51" s="1"/>
      <c r="B51" s="1"/>
      <c r="C51" s="1"/>
      <c r="D51" s="1"/>
      <c r="E51" s="1"/>
      <c r="F51" s="1"/>
      <c r="G51" s="1"/>
      <c r="H51" s="1"/>
      <c r="I51" s="1"/>
      <c r="J51" s="1"/>
      <c r="K51" s="1"/>
      <c r="L51" s="1"/>
      <c r="M51" s="7"/>
      <c r="N51" s="7"/>
      <c r="O51" s="7"/>
      <c r="P51" s="1"/>
      <c r="Q51" s="1"/>
      <c r="R51" s="1"/>
      <c r="S51" s="1"/>
      <c r="T51" s="1"/>
      <c r="U51" s="1"/>
      <c r="V51" s="1"/>
      <c r="W51" s="1"/>
      <c r="X51" s="1"/>
      <c r="Y51" s="1"/>
      <c r="Z51" s="11"/>
      <c r="AA51" s="1"/>
    </row>
    <row r="52" ht="15.75" customHeight="1">
      <c r="A52" s="1"/>
      <c r="B52" s="1"/>
      <c r="C52" s="1"/>
      <c r="D52" s="1"/>
      <c r="E52" s="1"/>
      <c r="F52" s="1"/>
      <c r="G52" s="1"/>
      <c r="H52" s="1"/>
      <c r="I52" s="1"/>
      <c r="J52" s="1"/>
      <c r="K52" s="1"/>
      <c r="L52" s="1"/>
      <c r="M52" s="7"/>
      <c r="N52" s="7"/>
      <c r="O52" s="7"/>
      <c r="P52" s="1"/>
      <c r="Q52" s="1"/>
      <c r="R52" s="1"/>
      <c r="S52" s="1"/>
      <c r="T52" s="1"/>
      <c r="U52" s="1"/>
      <c r="V52" s="1"/>
      <c r="W52" s="1"/>
      <c r="X52" s="1"/>
      <c r="Y52" s="1"/>
      <c r="Z52" s="11"/>
      <c r="AA52" s="1"/>
    </row>
    <row r="53" ht="15.75" customHeight="1">
      <c r="A53" s="1"/>
      <c r="B53" s="1"/>
      <c r="C53" s="1"/>
      <c r="D53" s="1"/>
      <c r="E53" s="1"/>
      <c r="F53" s="1"/>
      <c r="G53" s="1"/>
      <c r="H53" s="1"/>
      <c r="I53" s="1"/>
      <c r="J53" s="1"/>
      <c r="K53" s="1"/>
      <c r="L53" s="1"/>
      <c r="M53" s="7"/>
      <c r="N53" s="7"/>
      <c r="O53" s="7"/>
      <c r="P53" s="1"/>
      <c r="Q53" s="1"/>
      <c r="R53" s="1"/>
      <c r="S53" s="1"/>
      <c r="T53" s="1"/>
      <c r="U53" s="1"/>
      <c r="V53" s="1"/>
      <c r="W53" s="1"/>
      <c r="X53" s="1"/>
      <c r="Y53" s="1"/>
      <c r="Z53" s="11"/>
      <c r="AA53" s="1"/>
    </row>
    <row r="54" ht="15.75" customHeight="1">
      <c r="A54" s="1"/>
      <c r="B54" s="1"/>
      <c r="C54" s="1"/>
      <c r="D54" s="1"/>
      <c r="E54" s="1"/>
      <c r="F54" s="1"/>
      <c r="G54" s="1"/>
      <c r="H54" s="1"/>
      <c r="I54" s="1"/>
      <c r="J54" s="1"/>
      <c r="K54" s="1"/>
      <c r="L54" s="1"/>
      <c r="M54" s="7"/>
      <c r="N54" s="7"/>
      <c r="O54" s="7"/>
      <c r="P54" s="1"/>
      <c r="Q54" s="1"/>
      <c r="R54" s="1"/>
      <c r="S54" s="1"/>
      <c r="T54" s="1"/>
      <c r="U54" s="1"/>
      <c r="V54" s="1"/>
      <c r="W54" s="1"/>
      <c r="X54" s="1"/>
      <c r="Y54" s="1"/>
      <c r="Z54" s="11"/>
      <c r="AA54" s="1"/>
    </row>
    <row r="55" ht="15.75" customHeight="1">
      <c r="A55" s="1"/>
      <c r="B55" s="1"/>
      <c r="C55" s="1"/>
      <c r="D55" s="1"/>
      <c r="E55" s="1"/>
      <c r="F55" s="1"/>
      <c r="G55" s="1"/>
      <c r="H55" s="1"/>
      <c r="I55" s="1"/>
      <c r="J55" s="1"/>
      <c r="K55" s="1"/>
      <c r="L55" s="1"/>
      <c r="M55" s="7"/>
      <c r="N55" s="7"/>
      <c r="O55" s="7"/>
      <c r="P55" s="1"/>
      <c r="Q55" s="1"/>
      <c r="R55" s="1"/>
      <c r="S55" s="1"/>
      <c r="T55" s="1"/>
      <c r="U55" s="1"/>
      <c r="V55" s="1"/>
      <c r="W55" s="1"/>
      <c r="X55" s="1"/>
      <c r="Y55" s="1"/>
      <c r="Z55" s="11"/>
      <c r="AA55" s="1"/>
    </row>
    <row r="56" ht="15.75" customHeight="1">
      <c r="A56" s="1"/>
      <c r="B56" s="1"/>
      <c r="C56" s="1"/>
      <c r="D56" s="1"/>
      <c r="E56" s="1"/>
      <c r="F56" s="1"/>
      <c r="G56" s="1"/>
      <c r="H56" s="1"/>
      <c r="I56" s="1"/>
      <c r="J56" s="1"/>
      <c r="K56" s="1"/>
      <c r="L56" s="1"/>
      <c r="M56" s="7"/>
      <c r="N56" s="7"/>
      <c r="O56" s="7"/>
      <c r="P56" s="1"/>
      <c r="Q56" s="1"/>
      <c r="R56" s="1"/>
      <c r="S56" s="1"/>
      <c r="T56" s="1"/>
      <c r="U56" s="1"/>
      <c r="V56" s="1"/>
      <c r="W56" s="1"/>
      <c r="X56" s="1"/>
      <c r="Y56" s="1"/>
      <c r="Z56" s="11"/>
      <c r="AA56" s="1"/>
    </row>
    <row r="57" ht="15.75" customHeight="1">
      <c r="A57" s="1"/>
      <c r="B57" s="1"/>
      <c r="C57" s="1"/>
      <c r="D57" s="1"/>
      <c r="E57" s="1"/>
      <c r="F57" s="1"/>
      <c r="G57" s="1"/>
      <c r="H57" s="1"/>
      <c r="I57" s="1"/>
      <c r="J57" s="1"/>
      <c r="K57" s="1"/>
      <c r="L57" s="1"/>
      <c r="M57" s="7"/>
      <c r="N57" s="7"/>
      <c r="O57" s="7"/>
      <c r="P57" s="1"/>
      <c r="Q57" s="1"/>
      <c r="R57" s="1"/>
      <c r="S57" s="1"/>
      <c r="T57" s="1"/>
      <c r="U57" s="1"/>
      <c r="V57" s="1"/>
      <c r="W57" s="1"/>
      <c r="X57" s="1"/>
      <c r="Y57" s="1"/>
      <c r="Z57" s="11"/>
      <c r="AA57" s="1"/>
    </row>
    <row r="58" ht="15.75" customHeight="1">
      <c r="A58" s="1"/>
      <c r="B58" s="1"/>
      <c r="C58" s="1"/>
      <c r="D58" s="1"/>
      <c r="E58" s="1"/>
      <c r="F58" s="1"/>
      <c r="G58" s="1"/>
      <c r="H58" s="1"/>
      <c r="I58" s="1"/>
      <c r="J58" s="1"/>
      <c r="K58" s="1"/>
      <c r="L58" s="1"/>
      <c r="M58" s="7"/>
      <c r="N58" s="7"/>
      <c r="O58" s="7"/>
      <c r="P58" s="1"/>
      <c r="Q58" s="1"/>
      <c r="R58" s="1"/>
      <c r="S58" s="1"/>
      <c r="T58" s="1"/>
      <c r="U58" s="1"/>
      <c r="V58" s="1"/>
      <c r="W58" s="1"/>
      <c r="X58" s="1"/>
      <c r="Y58" s="1"/>
      <c r="Z58" s="11"/>
      <c r="AA58" s="1"/>
    </row>
    <row r="59" ht="15.75" customHeight="1">
      <c r="A59" s="1"/>
      <c r="B59" s="1"/>
      <c r="C59" s="1"/>
      <c r="D59" s="1"/>
      <c r="E59" s="1"/>
      <c r="F59" s="1"/>
      <c r="G59" s="1"/>
      <c r="H59" s="1"/>
      <c r="I59" s="1"/>
      <c r="J59" s="1"/>
      <c r="K59" s="1"/>
      <c r="L59" s="1"/>
      <c r="M59" s="7"/>
      <c r="N59" s="7"/>
      <c r="O59" s="7"/>
      <c r="P59" s="1"/>
      <c r="Q59" s="1"/>
      <c r="R59" s="1"/>
      <c r="S59" s="1"/>
      <c r="T59" s="1"/>
      <c r="U59" s="1"/>
      <c r="V59" s="1"/>
      <c r="W59" s="1"/>
      <c r="X59" s="1"/>
      <c r="Y59" s="1"/>
      <c r="Z59" s="11"/>
      <c r="AA59" s="1"/>
    </row>
    <row r="60" ht="15.75" customHeight="1">
      <c r="A60" s="1"/>
      <c r="B60" s="1"/>
      <c r="C60" s="1"/>
      <c r="D60" s="1"/>
      <c r="E60" s="1"/>
      <c r="F60" s="1"/>
      <c r="G60" s="1"/>
      <c r="H60" s="1"/>
      <c r="I60" s="1"/>
      <c r="J60" s="1"/>
      <c r="K60" s="1"/>
      <c r="L60" s="1"/>
      <c r="M60" s="7"/>
      <c r="N60" s="7"/>
      <c r="O60" s="7"/>
      <c r="P60" s="1"/>
      <c r="Q60" s="1"/>
      <c r="R60" s="1"/>
      <c r="S60" s="1"/>
      <c r="T60" s="1"/>
      <c r="U60" s="1"/>
      <c r="V60" s="1"/>
      <c r="W60" s="1"/>
      <c r="X60" s="1"/>
      <c r="Y60" s="1"/>
      <c r="Z60" s="11"/>
      <c r="AA60" s="1"/>
    </row>
    <row r="61" ht="15.75" customHeight="1">
      <c r="A61" s="1"/>
      <c r="B61" s="1"/>
      <c r="C61" s="1"/>
      <c r="D61" s="1"/>
      <c r="E61" s="1"/>
      <c r="F61" s="1"/>
      <c r="G61" s="1"/>
      <c r="H61" s="1"/>
      <c r="I61" s="1"/>
      <c r="J61" s="1"/>
      <c r="K61" s="1"/>
      <c r="L61" s="1"/>
      <c r="M61" s="7"/>
      <c r="N61" s="7"/>
      <c r="O61" s="7"/>
      <c r="P61" s="1"/>
      <c r="Q61" s="1"/>
      <c r="R61" s="1"/>
      <c r="S61" s="1"/>
      <c r="T61" s="1"/>
      <c r="U61" s="1"/>
      <c r="V61" s="1"/>
      <c r="W61" s="1"/>
      <c r="X61" s="1"/>
      <c r="Y61" s="1"/>
      <c r="Z61" s="11"/>
      <c r="AA61" s="1"/>
    </row>
    <row r="62" ht="15.75" customHeight="1">
      <c r="A62" s="1"/>
      <c r="B62" s="1"/>
      <c r="C62" s="1"/>
      <c r="D62" s="1"/>
      <c r="E62" s="1"/>
      <c r="F62" s="1"/>
      <c r="G62" s="1"/>
      <c r="H62" s="1"/>
      <c r="I62" s="1"/>
      <c r="J62" s="1"/>
      <c r="K62" s="1"/>
      <c r="L62" s="1"/>
      <c r="M62" s="7"/>
      <c r="N62" s="7"/>
      <c r="O62" s="7"/>
      <c r="P62" s="1"/>
      <c r="Q62" s="1"/>
      <c r="R62" s="1"/>
      <c r="S62" s="1"/>
      <c r="T62" s="1"/>
      <c r="U62" s="1"/>
      <c r="V62" s="1"/>
      <c r="W62" s="1"/>
      <c r="X62" s="1"/>
      <c r="Y62" s="1"/>
      <c r="Z62" s="11"/>
      <c r="AA62" s="1"/>
    </row>
    <row r="63" ht="15.75" customHeight="1">
      <c r="A63" s="1"/>
      <c r="B63" s="1"/>
      <c r="C63" s="1"/>
      <c r="D63" s="1"/>
      <c r="E63" s="1"/>
      <c r="F63" s="1"/>
      <c r="G63" s="1"/>
      <c r="H63" s="1"/>
      <c r="I63" s="1"/>
      <c r="J63" s="1"/>
      <c r="K63" s="1"/>
      <c r="L63" s="1"/>
      <c r="M63" s="7"/>
      <c r="N63" s="7"/>
      <c r="O63" s="7"/>
      <c r="P63" s="1"/>
      <c r="Q63" s="1"/>
      <c r="R63" s="1"/>
      <c r="S63" s="1"/>
      <c r="T63" s="1"/>
      <c r="U63" s="1"/>
      <c r="V63" s="1"/>
      <c r="W63" s="1"/>
      <c r="X63" s="1"/>
      <c r="Y63" s="1"/>
      <c r="Z63" s="11"/>
      <c r="AA63" s="1"/>
    </row>
    <row r="64" ht="15.75" customHeight="1">
      <c r="A64" s="1"/>
      <c r="B64" s="1"/>
      <c r="C64" s="1"/>
      <c r="D64" s="1"/>
      <c r="E64" s="1"/>
      <c r="F64" s="1"/>
      <c r="G64" s="1"/>
      <c r="H64" s="1"/>
      <c r="I64" s="1"/>
      <c r="J64" s="1"/>
      <c r="K64" s="1"/>
      <c r="L64" s="1"/>
      <c r="M64" s="7"/>
      <c r="N64" s="7"/>
      <c r="O64" s="7"/>
      <c r="P64" s="1"/>
      <c r="Q64" s="1"/>
      <c r="R64" s="1"/>
      <c r="S64" s="1"/>
      <c r="T64" s="1"/>
      <c r="U64" s="1"/>
      <c r="V64" s="1"/>
      <c r="W64" s="1"/>
      <c r="X64" s="1"/>
      <c r="Y64" s="1"/>
      <c r="Z64" s="11"/>
      <c r="AA64" s="1"/>
    </row>
    <row r="65" ht="15.75" customHeight="1">
      <c r="A65" s="1"/>
      <c r="B65" s="1"/>
      <c r="C65" s="1"/>
      <c r="D65" s="1"/>
      <c r="E65" s="1"/>
      <c r="F65" s="1"/>
      <c r="G65" s="1"/>
      <c r="H65" s="1"/>
      <c r="I65" s="1"/>
      <c r="J65" s="1"/>
      <c r="K65" s="1"/>
      <c r="L65" s="1"/>
      <c r="M65" s="7"/>
      <c r="N65" s="7"/>
      <c r="O65" s="7"/>
      <c r="P65" s="1"/>
      <c r="Q65" s="1"/>
      <c r="R65" s="1"/>
      <c r="S65" s="1"/>
      <c r="T65" s="1"/>
      <c r="U65" s="1"/>
      <c r="V65" s="1"/>
      <c r="W65" s="1"/>
      <c r="X65" s="1"/>
      <c r="Y65" s="1"/>
      <c r="Z65" s="11"/>
      <c r="AA65" s="1"/>
    </row>
    <row r="66" ht="15.75" customHeight="1">
      <c r="A66" s="1"/>
      <c r="B66" s="1"/>
      <c r="C66" s="1"/>
      <c r="D66" s="1"/>
      <c r="E66" s="1"/>
      <c r="F66" s="1"/>
      <c r="G66" s="1"/>
      <c r="H66" s="1"/>
      <c r="I66" s="1"/>
      <c r="J66" s="1"/>
      <c r="K66" s="1"/>
      <c r="L66" s="1"/>
      <c r="M66" s="7"/>
      <c r="N66" s="7"/>
      <c r="O66" s="7"/>
      <c r="P66" s="1"/>
      <c r="Q66" s="1"/>
      <c r="R66" s="1"/>
      <c r="S66" s="1"/>
      <c r="T66" s="1"/>
      <c r="U66" s="1"/>
      <c r="V66" s="1"/>
      <c r="W66" s="1"/>
      <c r="X66" s="1"/>
      <c r="Y66" s="1"/>
      <c r="Z66" s="11"/>
      <c r="AA66" s="1"/>
    </row>
    <row r="67" ht="15.75" customHeight="1">
      <c r="A67" s="1"/>
      <c r="B67" s="1"/>
      <c r="C67" s="1"/>
      <c r="D67" s="1"/>
      <c r="E67" s="1"/>
      <c r="F67" s="1"/>
      <c r="G67" s="1"/>
      <c r="H67" s="1"/>
      <c r="I67" s="1"/>
      <c r="J67" s="1"/>
      <c r="K67" s="1"/>
      <c r="L67" s="1"/>
      <c r="M67" s="7"/>
      <c r="N67" s="7"/>
      <c r="O67" s="7"/>
      <c r="P67" s="1"/>
      <c r="Q67" s="1"/>
      <c r="R67" s="1"/>
      <c r="S67" s="1"/>
      <c r="T67" s="1"/>
      <c r="U67" s="1"/>
      <c r="V67" s="1"/>
      <c r="W67" s="1"/>
      <c r="X67" s="1"/>
      <c r="Y67" s="1"/>
      <c r="Z67" s="11"/>
      <c r="AA67" s="1"/>
    </row>
    <row r="68" ht="15.75" customHeight="1">
      <c r="A68" s="1"/>
      <c r="B68" s="1"/>
      <c r="C68" s="1"/>
      <c r="D68" s="1"/>
      <c r="E68" s="1"/>
      <c r="F68" s="1"/>
      <c r="G68" s="1"/>
      <c r="H68" s="1"/>
      <c r="I68" s="1"/>
      <c r="J68" s="1"/>
      <c r="K68" s="1"/>
      <c r="L68" s="1"/>
      <c r="M68" s="7"/>
      <c r="N68" s="7"/>
      <c r="O68" s="7"/>
      <c r="P68" s="1"/>
      <c r="Q68" s="1"/>
      <c r="R68" s="1"/>
      <c r="S68" s="1"/>
      <c r="T68" s="1"/>
      <c r="U68" s="1"/>
      <c r="V68" s="1"/>
      <c r="W68" s="1"/>
      <c r="X68" s="1"/>
      <c r="Y68" s="1"/>
      <c r="Z68" s="11"/>
      <c r="AA68" s="1"/>
    </row>
    <row r="69" ht="15.75" customHeight="1">
      <c r="A69" s="1"/>
      <c r="B69" s="1"/>
      <c r="C69" s="1"/>
      <c r="D69" s="1"/>
      <c r="E69" s="1"/>
      <c r="F69" s="1"/>
      <c r="G69" s="1"/>
      <c r="H69" s="1"/>
      <c r="I69" s="1"/>
      <c r="J69" s="1"/>
      <c r="K69" s="1"/>
      <c r="L69" s="1"/>
      <c r="M69" s="7"/>
      <c r="N69" s="7"/>
      <c r="O69" s="7"/>
      <c r="P69" s="1"/>
      <c r="Q69" s="1"/>
      <c r="R69" s="1"/>
      <c r="S69" s="1"/>
      <c r="T69" s="1"/>
      <c r="U69" s="1"/>
      <c r="V69" s="1"/>
      <c r="W69" s="1"/>
      <c r="X69" s="1"/>
      <c r="Y69" s="1"/>
      <c r="Z69" s="11"/>
      <c r="AA69" s="1"/>
    </row>
    <row r="70" ht="15.75" customHeight="1">
      <c r="A70" s="1"/>
      <c r="B70" s="1"/>
      <c r="C70" s="1"/>
      <c r="D70" s="1"/>
      <c r="E70" s="1"/>
      <c r="F70" s="1"/>
      <c r="G70" s="1"/>
      <c r="H70" s="1"/>
      <c r="I70" s="1"/>
      <c r="J70" s="1"/>
      <c r="K70" s="1"/>
      <c r="L70" s="1"/>
      <c r="M70" s="7"/>
      <c r="N70" s="7"/>
      <c r="O70" s="7"/>
      <c r="P70" s="1"/>
      <c r="Q70" s="1"/>
      <c r="R70" s="1"/>
      <c r="S70" s="1"/>
      <c r="T70" s="1"/>
      <c r="U70" s="1"/>
      <c r="V70" s="1"/>
      <c r="W70" s="1"/>
      <c r="X70" s="1"/>
      <c r="Y70" s="1"/>
      <c r="Z70" s="11"/>
      <c r="AA70" s="1"/>
    </row>
    <row r="71" ht="15.75" customHeight="1">
      <c r="A71" s="1"/>
      <c r="B71" s="1"/>
      <c r="C71" s="1"/>
      <c r="D71" s="1"/>
      <c r="E71" s="1"/>
      <c r="F71" s="1"/>
      <c r="G71" s="1"/>
      <c r="H71" s="1"/>
      <c r="I71" s="1"/>
      <c r="J71" s="1"/>
      <c r="K71" s="1"/>
      <c r="L71" s="1"/>
      <c r="M71" s="7"/>
      <c r="N71" s="7"/>
      <c r="O71" s="7"/>
      <c r="P71" s="1"/>
      <c r="Q71" s="1"/>
      <c r="R71" s="1"/>
      <c r="S71" s="1"/>
      <c r="T71" s="1"/>
      <c r="U71" s="1"/>
      <c r="V71" s="1"/>
      <c r="W71" s="1"/>
      <c r="X71" s="1"/>
      <c r="Y71" s="1"/>
      <c r="Z71" s="11"/>
      <c r="AA71" s="1"/>
    </row>
    <row r="72" ht="15.75" customHeight="1">
      <c r="A72" s="1"/>
      <c r="B72" s="1"/>
      <c r="C72" s="1"/>
      <c r="D72" s="1"/>
      <c r="E72" s="1"/>
      <c r="F72" s="1"/>
      <c r="G72" s="1"/>
      <c r="H72" s="1"/>
      <c r="I72" s="1"/>
      <c r="J72" s="1"/>
      <c r="K72" s="1"/>
      <c r="L72" s="1"/>
      <c r="M72" s="7"/>
      <c r="N72" s="7"/>
      <c r="O72" s="7"/>
      <c r="P72" s="1"/>
      <c r="Q72" s="1"/>
      <c r="R72" s="1"/>
      <c r="S72" s="1"/>
      <c r="T72" s="1"/>
      <c r="U72" s="1"/>
      <c r="V72" s="1"/>
      <c r="W72" s="1"/>
      <c r="X72" s="1"/>
      <c r="Y72" s="1"/>
      <c r="Z72" s="11"/>
      <c r="AA72" s="1"/>
    </row>
    <row r="73" ht="15.75" customHeight="1">
      <c r="A73" s="1"/>
      <c r="B73" s="1"/>
      <c r="C73" s="1"/>
      <c r="D73" s="1"/>
      <c r="E73" s="1"/>
      <c r="F73" s="1"/>
      <c r="G73" s="1"/>
      <c r="H73" s="1"/>
      <c r="I73" s="1"/>
      <c r="J73" s="1"/>
      <c r="K73" s="1"/>
      <c r="L73" s="1"/>
      <c r="M73" s="7"/>
      <c r="N73" s="7"/>
      <c r="O73" s="7"/>
      <c r="P73" s="1"/>
      <c r="Q73" s="1"/>
      <c r="R73" s="1"/>
      <c r="S73" s="1"/>
      <c r="T73" s="1"/>
      <c r="U73" s="1"/>
      <c r="V73" s="1"/>
      <c r="W73" s="1"/>
      <c r="X73" s="1"/>
      <c r="Y73" s="1"/>
      <c r="Z73" s="11"/>
      <c r="AA73" s="1"/>
    </row>
    <row r="74" ht="15.75" customHeight="1">
      <c r="A74" s="1"/>
      <c r="B74" s="1"/>
      <c r="C74" s="1"/>
      <c r="D74" s="1"/>
      <c r="E74" s="1"/>
      <c r="F74" s="1"/>
      <c r="G74" s="1"/>
      <c r="H74" s="1"/>
      <c r="I74" s="1"/>
      <c r="J74" s="1"/>
      <c r="K74" s="1"/>
      <c r="L74" s="1"/>
      <c r="M74" s="7"/>
      <c r="N74" s="7"/>
      <c r="O74" s="7"/>
      <c r="P74" s="1"/>
      <c r="Q74" s="1"/>
      <c r="R74" s="1"/>
      <c r="S74" s="1"/>
      <c r="T74" s="1"/>
      <c r="U74" s="1"/>
      <c r="V74" s="1"/>
      <c r="W74" s="1"/>
      <c r="X74" s="1"/>
      <c r="Y74" s="1"/>
      <c r="Z74" s="11"/>
      <c r="AA74" s="1"/>
    </row>
    <row r="75" ht="15.75" customHeight="1">
      <c r="A75" s="1"/>
      <c r="B75" s="1"/>
      <c r="C75" s="1"/>
      <c r="D75" s="1"/>
      <c r="E75" s="1"/>
      <c r="F75" s="1"/>
      <c r="G75" s="1"/>
      <c r="H75" s="1"/>
      <c r="I75" s="1"/>
      <c r="J75" s="1"/>
      <c r="K75" s="1"/>
      <c r="L75" s="1"/>
      <c r="M75" s="7"/>
      <c r="N75" s="7"/>
      <c r="O75" s="7"/>
      <c r="P75" s="1"/>
      <c r="Q75" s="1"/>
      <c r="R75" s="1"/>
      <c r="S75" s="1"/>
      <c r="T75" s="1"/>
      <c r="U75" s="1"/>
      <c r="V75" s="1"/>
      <c r="W75" s="1"/>
      <c r="X75" s="1"/>
      <c r="Y75" s="1"/>
      <c r="Z75" s="11"/>
      <c r="AA75" s="1"/>
    </row>
    <row r="76" ht="15.75" customHeight="1">
      <c r="A76" s="1"/>
      <c r="B76" s="1"/>
      <c r="C76" s="1"/>
      <c r="D76" s="1"/>
      <c r="E76" s="1"/>
      <c r="F76" s="1"/>
      <c r="G76" s="1"/>
      <c r="H76" s="1"/>
      <c r="I76" s="1"/>
      <c r="J76" s="1"/>
      <c r="K76" s="1"/>
      <c r="L76" s="1"/>
      <c r="M76" s="7"/>
      <c r="N76" s="7"/>
      <c r="O76" s="7"/>
      <c r="P76" s="1"/>
      <c r="Q76" s="1"/>
      <c r="R76" s="1"/>
      <c r="S76" s="1"/>
      <c r="T76" s="1"/>
      <c r="U76" s="1"/>
      <c r="V76" s="1"/>
      <c r="W76" s="1"/>
      <c r="X76" s="1"/>
      <c r="Y76" s="1"/>
      <c r="Z76" s="11"/>
      <c r="AA76" s="1"/>
    </row>
    <row r="77" ht="15.75" customHeight="1">
      <c r="A77" s="1"/>
      <c r="B77" s="1"/>
      <c r="C77" s="1"/>
      <c r="D77" s="1"/>
      <c r="E77" s="1"/>
      <c r="F77" s="1"/>
      <c r="G77" s="1"/>
      <c r="H77" s="1"/>
      <c r="I77" s="1"/>
      <c r="J77" s="1"/>
      <c r="K77" s="1"/>
      <c r="L77" s="1"/>
      <c r="M77" s="7"/>
      <c r="N77" s="7"/>
      <c r="O77" s="7"/>
      <c r="P77" s="1"/>
      <c r="Q77" s="1"/>
      <c r="R77" s="1"/>
      <c r="S77" s="1"/>
      <c r="T77" s="1"/>
      <c r="U77" s="1"/>
      <c r="V77" s="1"/>
      <c r="W77" s="1"/>
      <c r="X77" s="1"/>
      <c r="Y77" s="1"/>
      <c r="Z77" s="11"/>
      <c r="AA77" s="1"/>
    </row>
    <row r="78" ht="15.75" customHeight="1">
      <c r="A78" s="1"/>
      <c r="B78" s="1"/>
      <c r="C78" s="1"/>
      <c r="D78" s="1"/>
      <c r="E78" s="1"/>
      <c r="F78" s="1"/>
      <c r="G78" s="1"/>
      <c r="H78" s="1"/>
      <c r="I78" s="1"/>
      <c r="J78" s="1"/>
      <c r="K78" s="1"/>
      <c r="L78" s="1"/>
      <c r="M78" s="7"/>
      <c r="N78" s="7"/>
      <c r="O78" s="7"/>
      <c r="P78" s="1"/>
      <c r="Q78" s="1"/>
      <c r="R78" s="1"/>
      <c r="S78" s="1"/>
      <c r="T78" s="1"/>
      <c r="U78" s="1"/>
      <c r="V78" s="1"/>
      <c r="W78" s="1"/>
      <c r="X78" s="1"/>
      <c r="Y78" s="1"/>
      <c r="Z78" s="11"/>
      <c r="AA78" s="1"/>
    </row>
    <row r="79" ht="15.75" customHeight="1">
      <c r="A79" s="1"/>
      <c r="B79" s="1"/>
      <c r="C79" s="1"/>
      <c r="D79" s="1"/>
      <c r="E79" s="1"/>
      <c r="F79" s="1"/>
      <c r="G79" s="1"/>
      <c r="H79" s="1"/>
      <c r="I79" s="1"/>
      <c r="J79" s="1"/>
      <c r="K79" s="1"/>
      <c r="L79" s="1"/>
      <c r="M79" s="7"/>
      <c r="N79" s="7"/>
      <c r="O79" s="7"/>
      <c r="P79" s="1"/>
      <c r="Q79" s="1"/>
      <c r="R79" s="1"/>
      <c r="S79" s="1"/>
      <c r="T79" s="1"/>
      <c r="U79" s="1"/>
      <c r="V79" s="1"/>
      <c r="W79" s="1"/>
      <c r="X79" s="1"/>
      <c r="Y79" s="1"/>
      <c r="Z79" s="11"/>
      <c r="AA79" s="1"/>
    </row>
    <row r="80" ht="15.75" customHeight="1">
      <c r="A80" s="1"/>
      <c r="B80" s="1"/>
      <c r="C80" s="1"/>
      <c r="D80" s="1"/>
      <c r="E80" s="1"/>
      <c r="F80" s="1"/>
      <c r="G80" s="1"/>
      <c r="H80" s="1"/>
      <c r="I80" s="1"/>
      <c r="J80" s="1"/>
      <c r="K80" s="1"/>
      <c r="L80" s="1"/>
      <c r="M80" s="7"/>
      <c r="N80" s="7"/>
      <c r="O80" s="7"/>
      <c r="P80" s="1"/>
      <c r="Q80" s="1"/>
      <c r="R80" s="1"/>
      <c r="S80" s="1"/>
      <c r="T80" s="1"/>
      <c r="U80" s="1"/>
      <c r="V80" s="1"/>
      <c r="W80" s="1"/>
      <c r="X80" s="1"/>
      <c r="Y80" s="1"/>
      <c r="Z80" s="11"/>
      <c r="AA80" s="1"/>
    </row>
    <row r="81" ht="15.75" customHeight="1">
      <c r="A81" s="1"/>
      <c r="B81" s="1"/>
      <c r="C81" s="1"/>
      <c r="D81" s="1"/>
      <c r="E81" s="1"/>
      <c r="F81" s="1"/>
      <c r="G81" s="1"/>
      <c r="H81" s="1"/>
      <c r="I81" s="1"/>
      <c r="J81" s="1"/>
      <c r="K81" s="1"/>
      <c r="L81" s="1"/>
      <c r="M81" s="7"/>
      <c r="N81" s="7"/>
      <c r="O81" s="7"/>
      <c r="P81" s="1"/>
      <c r="Q81" s="1"/>
      <c r="R81" s="1"/>
      <c r="S81" s="1"/>
      <c r="T81" s="1"/>
      <c r="U81" s="1"/>
      <c r="V81" s="1"/>
      <c r="W81" s="1"/>
      <c r="X81" s="1"/>
      <c r="Y81" s="1"/>
      <c r="Z81" s="11"/>
      <c r="AA81" s="1"/>
    </row>
    <row r="82" ht="15.75" customHeight="1">
      <c r="A82" s="1"/>
      <c r="B82" s="1"/>
      <c r="C82" s="1"/>
      <c r="D82" s="1"/>
      <c r="E82" s="1"/>
      <c r="F82" s="1"/>
      <c r="G82" s="1"/>
      <c r="H82" s="1"/>
      <c r="I82" s="1"/>
      <c r="J82" s="1"/>
      <c r="K82" s="1"/>
      <c r="L82" s="1"/>
      <c r="M82" s="7"/>
      <c r="N82" s="7"/>
      <c r="O82" s="7"/>
      <c r="P82" s="1"/>
      <c r="Q82" s="1"/>
      <c r="R82" s="1"/>
      <c r="S82" s="1"/>
      <c r="T82" s="1"/>
      <c r="U82" s="1"/>
      <c r="V82" s="1"/>
      <c r="W82" s="1"/>
      <c r="X82" s="1"/>
      <c r="Y82" s="1"/>
      <c r="Z82" s="11"/>
      <c r="AA82" s="1"/>
    </row>
    <row r="83" ht="15.75" customHeight="1">
      <c r="A83" s="1"/>
      <c r="B83" s="1"/>
      <c r="C83" s="1"/>
      <c r="D83" s="1"/>
      <c r="E83" s="1"/>
      <c r="F83" s="1"/>
      <c r="G83" s="1"/>
      <c r="H83" s="1"/>
      <c r="I83" s="1"/>
      <c r="J83" s="1"/>
      <c r="K83" s="1"/>
      <c r="L83" s="1"/>
      <c r="M83" s="7"/>
      <c r="N83" s="7"/>
      <c r="O83" s="7"/>
      <c r="P83" s="1"/>
      <c r="Q83" s="1"/>
      <c r="R83" s="1"/>
      <c r="S83" s="1"/>
      <c r="T83" s="1"/>
      <c r="U83" s="1"/>
      <c r="V83" s="1"/>
      <c r="W83" s="1"/>
      <c r="X83" s="1"/>
      <c r="Y83" s="1"/>
      <c r="Z83" s="11"/>
      <c r="AA83" s="1"/>
    </row>
    <row r="84" ht="15.75" customHeight="1">
      <c r="A84" s="1"/>
      <c r="B84" s="1"/>
      <c r="C84" s="1"/>
      <c r="D84" s="1"/>
      <c r="E84" s="1"/>
      <c r="F84" s="1"/>
      <c r="G84" s="1"/>
      <c r="H84" s="1"/>
      <c r="I84" s="1"/>
      <c r="J84" s="1"/>
      <c r="K84" s="1"/>
      <c r="L84" s="1"/>
      <c r="M84" s="7"/>
      <c r="N84" s="7"/>
      <c r="O84" s="7"/>
      <c r="P84" s="1"/>
      <c r="Q84" s="1"/>
      <c r="R84" s="1"/>
      <c r="S84" s="1"/>
      <c r="T84" s="1"/>
      <c r="U84" s="1"/>
      <c r="V84" s="1"/>
      <c r="W84" s="1"/>
      <c r="X84" s="1"/>
      <c r="Y84" s="1"/>
      <c r="Z84" s="11"/>
      <c r="AA84" s="1"/>
    </row>
    <row r="85" ht="15.75" customHeight="1">
      <c r="A85" s="1"/>
      <c r="B85" s="1"/>
      <c r="C85" s="1"/>
      <c r="D85" s="1"/>
      <c r="E85" s="1"/>
      <c r="F85" s="1"/>
      <c r="G85" s="1"/>
      <c r="H85" s="1"/>
      <c r="I85" s="1"/>
      <c r="J85" s="1"/>
      <c r="K85" s="1"/>
      <c r="L85" s="1"/>
      <c r="M85" s="7"/>
      <c r="N85" s="7"/>
      <c r="O85" s="7"/>
      <c r="P85" s="1"/>
      <c r="Q85" s="1"/>
      <c r="R85" s="1"/>
      <c r="S85" s="1"/>
      <c r="T85" s="1"/>
      <c r="U85" s="1"/>
      <c r="V85" s="1"/>
      <c r="W85" s="1"/>
      <c r="X85" s="1"/>
      <c r="Y85" s="1"/>
      <c r="Z85" s="11"/>
      <c r="AA85" s="1"/>
    </row>
    <row r="86" ht="15.75" customHeight="1">
      <c r="A86" s="1"/>
      <c r="B86" s="1"/>
      <c r="C86" s="1"/>
      <c r="D86" s="1"/>
      <c r="E86" s="1"/>
      <c r="F86" s="1"/>
      <c r="G86" s="1"/>
      <c r="H86" s="1"/>
      <c r="I86" s="1"/>
      <c r="J86" s="1"/>
      <c r="K86" s="1"/>
      <c r="L86" s="1"/>
      <c r="M86" s="7"/>
      <c r="N86" s="7"/>
      <c r="O86" s="7"/>
      <c r="P86" s="1"/>
      <c r="Q86" s="1"/>
      <c r="R86" s="1"/>
      <c r="S86" s="1"/>
      <c r="T86" s="1"/>
      <c r="U86" s="1"/>
      <c r="V86" s="1"/>
      <c r="W86" s="1"/>
      <c r="X86" s="1"/>
      <c r="Y86" s="1"/>
      <c r="Z86" s="11"/>
      <c r="AA86" s="1"/>
    </row>
    <row r="87" ht="15.75" customHeight="1">
      <c r="A87" s="1"/>
      <c r="B87" s="1"/>
      <c r="C87" s="1"/>
      <c r="D87" s="1"/>
      <c r="E87" s="1"/>
      <c r="F87" s="1"/>
      <c r="G87" s="1"/>
      <c r="H87" s="1"/>
      <c r="I87" s="1"/>
      <c r="J87" s="1"/>
      <c r="K87" s="1"/>
      <c r="L87" s="1"/>
      <c r="M87" s="7"/>
      <c r="N87" s="7"/>
      <c r="O87" s="7"/>
      <c r="P87" s="1"/>
      <c r="Q87" s="1"/>
      <c r="R87" s="1"/>
      <c r="S87" s="1"/>
      <c r="T87" s="1"/>
      <c r="U87" s="1"/>
      <c r="V87" s="1"/>
      <c r="W87" s="1"/>
      <c r="X87" s="1"/>
      <c r="Y87" s="1"/>
      <c r="Z87" s="11"/>
      <c r="AA87" s="1"/>
    </row>
    <row r="88" ht="15.75" customHeight="1">
      <c r="A88" s="1"/>
      <c r="B88" s="1"/>
      <c r="C88" s="1"/>
      <c r="D88" s="1"/>
      <c r="E88" s="1"/>
      <c r="F88" s="1"/>
      <c r="G88" s="1"/>
      <c r="H88" s="1"/>
      <c r="I88" s="1"/>
      <c r="J88" s="1"/>
      <c r="K88" s="1"/>
      <c r="L88" s="1"/>
      <c r="M88" s="7"/>
      <c r="N88" s="7"/>
      <c r="O88" s="7"/>
      <c r="P88" s="1"/>
      <c r="Q88" s="1"/>
      <c r="R88" s="1"/>
      <c r="S88" s="1"/>
      <c r="T88" s="1"/>
      <c r="U88" s="1"/>
      <c r="V88" s="1"/>
      <c r="W88" s="1"/>
      <c r="X88" s="1"/>
      <c r="Y88" s="1"/>
      <c r="Z88" s="11"/>
      <c r="AA88" s="1"/>
    </row>
    <row r="89" ht="15.75" customHeight="1">
      <c r="A89" s="1"/>
      <c r="B89" s="1"/>
      <c r="C89" s="1"/>
      <c r="D89" s="1"/>
      <c r="E89" s="1"/>
      <c r="F89" s="1"/>
      <c r="G89" s="1"/>
      <c r="H89" s="1"/>
      <c r="I89" s="1"/>
      <c r="J89" s="1"/>
      <c r="K89" s="1"/>
      <c r="L89" s="1"/>
      <c r="M89" s="7"/>
      <c r="N89" s="7"/>
      <c r="O89" s="7"/>
      <c r="P89" s="1"/>
      <c r="Q89" s="1"/>
      <c r="R89" s="1"/>
      <c r="S89" s="1"/>
      <c r="T89" s="1"/>
      <c r="U89" s="1"/>
      <c r="V89" s="1"/>
      <c r="W89" s="1"/>
      <c r="X89" s="1"/>
      <c r="Y89" s="1"/>
      <c r="Z89" s="11"/>
      <c r="AA89" s="1"/>
    </row>
    <row r="90" ht="15.75" customHeight="1">
      <c r="A90" s="1"/>
      <c r="B90" s="1"/>
      <c r="C90" s="1"/>
      <c r="D90" s="1"/>
      <c r="E90" s="1"/>
      <c r="F90" s="1"/>
      <c r="G90" s="1"/>
      <c r="H90" s="1"/>
      <c r="I90" s="1"/>
      <c r="J90" s="1"/>
      <c r="K90" s="1"/>
      <c r="L90" s="1"/>
      <c r="M90" s="7"/>
      <c r="N90" s="7"/>
      <c r="O90" s="7"/>
      <c r="P90" s="1"/>
      <c r="Q90" s="1"/>
      <c r="R90" s="1"/>
      <c r="S90" s="1"/>
      <c r="T90" s="1"/>
      <c r="U90" s="1"/>
      <c r="V90" s="1"/>
      <c r="W90" s="1"/>
      <c r="X90" s="1"/>
      <c r="Y90" s="1"/>
      <c r="Z90" s="11"/>
      <c r="AA90" s="1"/>
    </row>
    <row r="91" ht="15.75" customHeight="1">
      <c r="A91" s="1"/>
      <c r="B91" s="1"/>
      <c r="C91" s="1"/>
      <c r="D91" s="1"/>
      <c r="E91" s="1"/>
      <c r="F91" s="1"/>
      <c r="G91" s="1"/>
      <c r="H91" s="1"/>
      <c r="I91" s="1"/>
      <c r="J91" s="1"/>
      <c r="K91" s="1"/>
      <c r="L91" s="1"/>
      <c r="M91" s="7"/>
      <c r="N91" s="7"/>
      <c r="O91" s="7"/>
      <c r="P91" s="1"/>
      <c r="Q91" s="1"/>
      <c r="R91" s="1"/>
      <c r="S91" s="1"/>
      <c r="T91" s="1"/>
      <c r="U91" s="1"/>
      <c r="V91" s="1"/>
      <c r="W91" s="1"/>
      <c r="X91" s="1"/>
      <c r="Y91" s="1"/>
      <c r="Z91" s="11"/>
      <c r="AA91" s="1"/>
    </row>
    <row r="92" ht="15.75" customHeight="1">
      <c r="A92" s="1"/>
      <c r="B92" s="1"/>
      <c r="C92" s="1"/>
      <c r="D92" s="1"/>
      <c r="E92" s="1"/>
      <c r="F92" s="1"/>
      <c r="G92" s="1"/>
      <c r="H92" s="1"/>
      <c r="I92" s="1"/>
      <c r="J92" s="1"/>
      <c r="K92" s="1"/>
      <c r="L92" s="1"/>
      <c r="M92" s="7"/>
      <c r="N92" s="7"/>
      <c r="O92" s="7"/>
      <c r="P92" s="1"/>
      <c r="Q92" s="1"/>
      <c r="R92" s="1"/>
      <c r="S92" s="1"/>
      <c r="T92" s="1"/>
      <c r="U92" s="1"/>
      <c r="V92" s="1"/>
      <c r="W92" s="1"/>
      <c r="X92" s="1"/>
      <c r="Y92" s="1"/>
      <c r="Z92" s="11"/>
      <c r="AA92" s="1"/>
    </row>
    <row r="93" ht="15.75" customHeight="1">
      <c r="A93" s="1"/>
      <c r="B93" s="1"/>
      <c r="C93" s="1"/>
      <c r="D93" s="1"/>
      <c r="E93" s="1"/>
      <c r="F93" s="1"/>
      <c r="G93" s="1"/>
      <c r="H93" s="1"/>
      <c r="I93" s="1"/>
      <c r="J93" s="1"/>
      <c r="K93" s="1"/>
      <c r="L93" s="1"/>
      <c r="M93" s="7"/>
      <c r="N93" s="7"/>
      <c r="O93" s="7"/>
      <c r="P93" s="1"/>
      <c r="Q93" s="1"/>
      <c r="R93" s="1"/>
      <c r="S93" s="1"/>
      <c r="T93" s="1"/>
      <c r="U93" s="1"/>
      <c r="V93" s="1"/>
      <c r="W93" s="1"/>
      <c r="X93" s="1"/>
      <c r="Y93" s="1"/>
      <c r="Z93" s="11"/>
      <c r="AA93" s="1"/>
    </row>
    <row r="94" ht="15.75" customHeight="1">
      <c r="A94" s="1"/>
      <c r="B94" s="1"/>
      <c r="C94" s="1"/>
      <c r="D94" s="1"/>
      <c r="E94" s="1"/>
      <c r="F94" s="1"/>
      <c r="G94" s="1"/>
      <c r="H94" s="1"/>
      <c r="I94" s="1"/>
      <c r="J94" s="1"/>
      <c r="K94" s="1"/>
      <c r="L94" s="1"/>
      <c r="M94" s="7"/>
      <c r="N94" s="7"/>
      <c r="O94" s="7"/>
      <c r="P94" s="1"/>
      <c r="Q94" s="1"/>
      <c r="R94" s="1"/>
      <c r="S94" s="1"/>
      <c r="T94" s="1"/>
      <c r="U94" s="1"/>
      <c r="V94" s="1"/>
      <c r="W94" s="1"/>
      <c r="X94" s="1"/>
      <c r="Y94" s="1"/>
      <c r="Z94" s="11"/>
      <c r="AA94" s="1"/>
    </row>
    <row r="95" ht="15.75" customHeight="1">
      <c r="A95" s="1"/>
      <c r="B95" s="1"/>
      <c r="C95" s="1"/>
      <c r="D95" s="1"/>
      <c r="E95" s="1"/>
      <c r="F95" s="1"/>
      <c r="G95" s="1"/>
      <c r="H95" s="1"/>
      <c r="I95" s="1"/>
      <c r="J95" s="1"/>
      <c r="K95" s="1"/>
      <c r="L95" s="1"/>
      <c r="M95" s="7"/>
      <c r="N95" s="7"/>
      <c r="O95" s="7"/>
      <c r="P95" s="1"/>
      <c r="Q95" s="1"/>
      <c r="R95" s="1"/>
      <c r="S95" s="1"/>
      <c r="T95" s="1"/>
      <c r="U95" s="1"/>
      <c r="V95" s="1"/>
      <c r="W95" s="1"/>
      <c r="X95" s="1"/>
      <c r="Y95" s="1"/>
      <c r="Z95" s="11"/>
      <c r="AA95" s="1"/>
    </row>
    <row r="96" ht="15.75" customHeight="1">
      <c r="A96" s="1"/>
      <c r="B96" s="1"/>
      <c r="C96" s="1"/>
      <c r="D96" s="1"/>
      <c r="E96" s="1"/>
      <c r="F96" s="1"/>
      <c r="G96" s="1"/>
      <c r="H96" s="1"/>
      <c r="I96" s="1"/>
      <c r="J96" s="1"/>
      <c r="K96" s="1"/>
      <c r="L96" s="1"/>
      <c r="M96" s="7"/>
      <c r="N96" s="7"/>
      <c r="O96" s="7"/>
      <c r="P96" s="1"/>
      <c r="Q96" s="1"/>
      <c r="R96" s="1"/>
      <c r="S96" s="1"/>
      <c r="T96" s="1"/>
      <c r="U96" s="1"/>
      <c r="V96" s="1"/>
      <c r="W96" s="1"/>
      <c r="X96" s="1"/>
      <c r="Y96" s="1"/>
      <c r="Z96" s="11"/>
      <c r="AA96" s="1"/>
    </row>
    <row r="97" ht="15.75" customHeight="1">
      <c r="A97" s="1"/>
      <c r="B97" s="1"/>
      <c r="C97" s="1"/>
      <c r="D97" s="1"/>
      <c r="E97" s="1"/>
      <c r="F97" s="1"/>
      <c r="G97" s="1"/>
      <c r="H97" s="1"/>
      <c r="I97" s="1"/>
      <c r="J97" s="1"/>
      <c r="K97" s="1"/>
      <c r="L97" s="1"/>
      <c r="M97" s="7"/>
      <c r="N97" s="7"/>
      <c r="O97" s="7"/>
      <c r="P97" s="1"/>
      <c r="Q97" s="1"/>
      <c r="R97" s="1"/>
      <c r="S97" s="1"/>
      <c r="T97" s="1"/>
      <c r="U97" s="1"/>
      <c r="V97" s="1"/>
      <c r="W97" s="1"/>
      <c r="X97" s="1"/>
      <c r="Y97" s="1"/>
      <c r="Z97" s="11"/>
      <c r="AA97" s="1"/>
    </row>
    <row r="98" ht="15.75" customHeight="1">
      <c r="A98" s="1"/>
      <c r="B98" s="1"/>
      <c r="C98" s="1"/>
      <c r="D98" s="1"/>
      <c r="E98" s="1"/>
      <c r="F98" s="1"/>
      <c r="G98" s="1"/>
      <c r="H98" s="1"/>
      <c r="I98" s="1"/>
      <c r="J98" s="1"/>
      <c r="K98" s="1"/>
      <c r="L98" s="1"/>
      <c r="M98" s="7"/>
      <c r="N98" s="7"/>
      <c r="O98" s="7"/>
      <c r="P98" s="1"/>
      <c r="Q98" s="1"/>
      <c r="R98" s="1"/>
      <c r="S98" s="1"/>
      <c r="T98" s="1"/>
      <c r="U98" s="1"/>
      <c r="V98" s="1"/>
      <c r="W98" s="1"/>
      <c r="X98" s="1"/>
      <c r="Y98" s="1"/>
      <c r="Z98" s="11"/>
      <c r="AA98" s="1"/>
    </row>
    <row r="99" ht="15.75" customHeight="1">
      <c r="A99" s="1"/>
      <c r="B99" s="1"/>
      <c r="C99" s="1"/>
      <c r="D99" s="1"/>
      <c r="E99" s="1"/>
      <c r="F99" s="1"/>
      <c r="G99" s="1"/>
      <c r="H99" s="1"/>
      <c r="I99" s="1"/>
      <c r="J99" s="1"/>
      <c r="K99" s="1"/>
      <c r="L99" s="1"/>
      <c r="M99" s="7"/>
      <c r="N99" s="7"/>
      <c r="O99" s="7"/>
      <c r="P99" s="1"/>
      <c r="Q99" s="1"/>
      <c r="R99" s="1"/>
      <c r="S99" s="1"/>
      <c r="T99" s="1"/>
      <c r="U99" s="1"/>
      <c r="V99" s="1"/>
      <c r="W99" s="1"/>
      <c r="X99" s="1"/>
      <c r="Y99" s="1"/>
      <c r="Z99" s="11"/>
      <c r="AA99" s="1"/>
    </row>
    <row r="100" ht="15.75" customHeight="1">
      <c r="A100" s="1"/>
      <c r="B100" s="1"/>
      <c r="C100" s="1"/>
      <c r="D100" s="1"/>
      <c r="E100" s="1"/>
      <c r="F100" s="1"/>
      <c r="G100" s="1"/>
      <c r="H100" s="1"/>
      <c r="I100" s="1"/>
      <c r="J100" s="1"/>
      <c r="K100" s="1"/>
      <c r="L100" s="1"/>
      <c r="M100" s="7"/>
      <c r="N100" s="7"/>
      <c r="O100" s="7"/>
      <c r="P100" s="1"/>
      <c r="Q100" s="1"/>
      <c r="R100" s="1"/>
      <c r="S100" s="1"/>
      <c r="T100" s="1"/>
      <c r="U100" s="1"/>
      <c r="V100" s="1"/>
      <c r="W100" s="1"/>
      <c r="X100" s="1"/>
      <c r="Y100" s="1"/>
      <c r="Z100" s="11"/>
      <c r="AA100" s="1"/>
    </row>
    <row r="101" ht="15.75" customHeight="1">
      <c r="A101" s="1"/>
      <c r="B101" s="1"/>
      <c r="C101" s="1"/>
      <c r="D101" s="1"/>
      <c r="E101" s="1"/>
      <c r="F101" s="1"/>
      <c r="G101" s="1"/>
      <c r="H101" s="1"/>
      <c r="I101" s="1"/>
      <c r="J101" s="1"/>
      <c r="K101" s="1"/>
      <c r="L101" s="1"/>
      <c r="M101" s="7"/>
      <c r="N101" s="7"/>
      <c r="O101" s="7"/>
      <c r="P101" s="1"/>
      <c r="Q101" s="1"/>
      <c r="R101" s="1"/>
      <c r="S101" s="1"/>
      <c r="T101" s="1"/>
      <c r="U101" s="1"/>
      <c r="V101" s="1"/>
      <c r="W101" s="1"/>
      <c r="X101" s="1"/>
      <c r="Y101" s="1"/>
      <c r="Z101" s="11"/>
      <c r="AA101" s="1"/>
    </row>
    <row r="102" ht="15.75" customHeight="1">
      <c r="A102" s="1"/>
      <c r="B102" s="1"/>
      <c r="C102" s="1"/>
      <c r="D102" s="1"/>
      <c r="E102" s="1"/>
      <c r="F102" s="1"/>
      <c r="G102" s="1"/>
      <c r="H102" s="1"/>
      <c r="I102" s="1"/>
      <c r="J102" s="1"/>
      <c r="K102" s="1"/>
      <c r="L102" s="1"/>
      <c r="M102" s="7"/>
      <c r="N102" s="7"/>
      <c r="O102" s="7"/>
      <c r="P102" s="1"/>
      <c r="Q102" s="1"/>
      <c r="R102" s="1"/>
      <c r="S102" s="1"/>
      <c r="T102" s="1"/>
      <c r="U102" s="1"/>
      <c r="V102" s="1"/>
      <c r="W102" s="1"/>
      <c r="X102" s="1"/>
      <c r="Y102" s="1"/>
      <c r="Z102" s="11"/>
      <c r="AA102" s="1"/>
    </row>
    <row r="103" ht="15.75" customHeight="1">
      <c r="A103" s="1"/>
      <c r="B103" s="1"/>
      <c r="C103" s="1"/>
      <c r="D103" s="1"/>
      <c r="E103" s="1"/>
      <c r="F103" s="1"/>
      <c r="G103" s="1"/>
      <c r="H103" s="1"/>
      <c r="I103" s="1"/>
      <c r="J103" s="1"/>
      <c r="K103" s="1"/>
      <c r="L103" s="1"/>
      <c r="M103" s="7"/>
      <c r="N103" s="7"/>
      <c r="O103" s="7"/>
      <c r="P103" s="1"/>
      <c r="Q103" s="1"/>
      <c r="R103" s="1"/>
      <c r="S103" s="1"/>
      <c r="T103" s="1"/>
      <c r="U103" s="1"/>
      <c r="V103" s="1"/>
      <c r="W103" s="1"/>
      <c r="X103" s="1"/>
      <c r="Y103" s="1"/>
      <c r="Z103" s="11"/>
      <c r="AA103" s="1"/>
    </row>
    <row r="104" ht="15.75" customHeight="1">
      <c r="A104" s="1"/>
      <c r="B104" s="1"/>
      <c r="C104" s="1"/>
      <c r="D104" s="1"/>
      <c r="E104" s="1"/>
      <c r="F104" s="1"/>
      <c r="G104" s="1"/>
      <c r="H104" s="1"/>
      <c r="I104" s="1"/>
      <c r="J104" s="1"/>
      <c r="K104" s="1"/>
      <c r="L104" s="1"/>
      <c r="M104" s="7"/>
      <c r="N104" s="7"/>
      <c r="O104" s="7"/>
      <c r="P104" s="1"/>
      <c r="Q104" s="1"/>
      <c r="R104" s="1"/>
      <c r="S104" s="1"/>
      <c r="T104" s="1"/>
      <c r="U104" s="1"/>
      <c r="V104" s="1"/>
      <c r="W104" s="1"/>
      <c r="X104" s="1"/>
      <c r="Y104" s="1"/>
      <c r="Z104" s="11"/>
      <c r="AA104" s="1"/>
    </row>
    <row r="105" ht="15.75" customHeight="1">
      <c r="A105" s="1"/>
      <c r="B105" s="1"/>
      <c r="C105" s="1"/>
      <c r="D105" s="1"/>
      <c r="E105" s="1"/>
      <c r="F105" s="1"/>
      <c r="G105" s="1"/>
      <c r="H105" s="1"/>
      <c r="I105" s="1"/>
      <c r="J105" s="1"/>
      <c r="K105" s="1"/>
      <c r="L105" s="1"/>
      <c r="M105" s="7"/>
      <c r="N105" s="7"/>
      <c r="O105" s="7"/>
      <c r="P105" s="1"/>
      <c r="Q105" s="1"/>
      <c r="R105" s="1"/>
      <c r="S105" s="1"/>
      <c r="T105" s="1"/>
      <c r="U105" s="1"/>
      <c r="V105" s="1"/>
      <c r="W105" s="1"/>
      <c r="X105" s="1"/>
      <c r="Y105" s="1"/>
      <c r="Z105" s="11"/>
      <c r="AA105" s="1"/>
    </row>
    <row r="106" ht="15.75" customHeight="1">
      <c r="A106" s="1"/>
      <c r="B106" s="1"/>
      <c r="C106" s="1"/>
      <c r="D106" s="1"/>
      <c r="E106" s="1"/>
      <c r="F106" s="1"/>
      <c r="G106" s="1"/>
      <c r="H106" s="1"/>
      <c r="I106" s="1"/>
      <c r="J106" s="1"/>
      <c r="K106" s="1"/>
      <c r="L106" s="1"/>
      <c r="M106" s="7"/>
      <c r="N106" s="7"/>
      <c r="O106" s="7"/>
      <c r="P106" s="1"/>
      <c r="Q106" s="1"/>
      <c r="R106" s="1"/>
      <c r="S106" s="1"/>
      <c r="T106" s="1"/>
      <c r="U106" s="1"/>
      <c r="V106" s="1"/>
      <c r="W106" s="1"/>
      <c r="X106" s="1"/>
      <c r="Y106" s="1"/>
      <c r="Z106" s="11"/>
      <c r="AA106" s="1"/>
    </row>
    <row r="107" ht="15.75" customHeight="1">
      <c r="A107" s="1"/>
      <c r="B107" s="1"/>
      <c r="C107" s="1"/>
      <c r="D107" s="1"/>
      <c r="E107" s="1"/>
      <c r="F107" s="1"/>
      <c r="G107" s="1"/>
      <c r="H107" s="1"/>
      <c r="I107" s="1"/>
      <c r="J107" s="1"/>
      <c r="K107" s="1"/>
      <c r="L107" s="1"/>
      <c r="M107" s="7"/>
      <c r="N107" s="7"/>
      <c r="O107" s="7"/>
      <c r="P107" s="1"/>
      <c r="Q107" s="1"/>
      <c r="R107" s="1"/>
      <c r="S107" s="1"/>
      <c r="T107" s="1"/>
      <c r="U107" s="1"/>
      <c r="V107" s="1"/>
      <c r="W107" s="1"/>
      <c r="X107" s="1"/>
      <c r="Y107" s="1"/>
      <c r="Z107" s="11"/>
      <c r="AA107" s="1"/>
    </row>
    <row r="108" ht="15.75" customHeight="1">
      <c r="A108" s="1"/>
      <c r="B108" s="1"/>
      <c r="C108" s="1"/>
      <c r="D108" s="1"/>
      <c r="E108" s="1"/>
      <c r="F108" s="1"/>
      <c r="G108" s="1"/>
      <c r="H108" s="1"/>
      <c r="I108" s="1"/>
      <c r="J108" s="1"/>
      <c r="K108" s="1"/>
      <c r="L108" s="1"/>
      <c r="M108" s="7"/>
      <c r="N108" s="7"/>
      <c r="O108" s="7"/>
      <c r="P108" s="1"/>
      <c r="Q108" s="1"/>
      <c r="R108" s="1"/>
      <c r="S108" s="1"/>
      <c r="T108" s="1"/>
      <c r="U108" s="1"/>
      <c r="V108" s="1"/>
      <c r="W108" s="1"/>
      <c r="X108" s="1"/>
      <c r="Y108" s="1"/>
      <c r="Z108" s="11"/>
      <c r="AA108" s="1"/>
    </row>
    <row r="109" ht="15.75" customHeight="1">
      <c r="A109" s="1"/>
      <c r="B109" s="1"/>
      <c r="C109" s="1"/>
      <c r="D109" s="1"/>
      <c r="E109" s="1"/>
      <c r="F109" s="1"/>
      <c r="G109" s="1"/>
      <c r="H109" s="1"/>
      <c r="I109" s="1"/>
      <c r="J109" s="1"/>
      <c r="K109" s="1"/>
      <c r="L109" s="1"/>
      <c r="M109" s="7"/>
      <c r="N109" s="7"/>
      <c r="O109" s="7"/>
      <c r="P109" s="1"/>
      <c r="Q109" s="1"/>
      <c r="R109" s="1"/>
      <c r="S109" s="1"/>
      <c r="T109" s="1"/>
      <c r="U109" s="1"/>
      <c r="V109" s="1"/>
      <c r="W109" s="1"/>
      <c r="X109" s="1"/>
      <c r="Y109" s="1"/>
      <c r="Z109" s="11"/>
      <c r="AA109" s="1"/>
    </row>
    <row r="110" ht="15.75" customHeight="1">
      <c r="A110" s="1"/>
      <c r="B110" s="1"/>
      <c r="C110" s="1"/>
      <c r="D110" s="1"/>
      <c r="E110" s="1"/>
      <c r="F110" s="1"/>
      <c r="G110" s="1"/>
      <c r="H110" s="1"/>
      <c r="I110" s="1"/>
      <c r="J110" s="1"/>
      <c r="K110" s="1"/>
      <c r="L110" s="1"/>
      <c r="M110" s="7"/>
      <c r="N110" s="7"/>
      <c r="O110" s="7"/>
      <c r="P110" s="1"/>
      <c r="Q110" s="1"/>
      <c r="R110" s="1"/>
      <c r="S110" s="1"/>
      <c r="T110" s="1"/>
      <c r="U110" s="1"/>
      <c r="V110" s="1"/>
      <c r="W110" s="1"/>
      <c r="X110" s="1"/>
      <c r="Y110" s="1"/>
      <c r="Z110" s="11"/>
      <c r="AA110" s="1"/>
    </row>
    <row r="111" ht="15.75" customHeight="1">
      <c r="A111" s="1"/>
      <c r="B111" s="1"/>
      <c r="C111" s="1"/>
      <c r="D111" s="1"/>
      <c r="E111" s="1"/>
      <c r="F111" s="1"/>
      <c r="G111" s="1"/>
      <c r="H111" s="1"/>
      <c r="I111" s="1"/>
      <c r="J111" s="1"/>
      <c r="K111" s="1"/>
      <c r="L111" s="1"/>
      <c r="M111" s="7"/>
      <c r="N111" s="7"/>
      <c r="O111" s="7"/>
      <c r="P111" s="1"/>
      <c r="Q111" s="1"/>
      <c r="R111" s="1"/>
      <c r="S111" s="1"/>
      <c r="T111" s="1"/>
      <c r="U111" s="1"/>
      <c r="V111" s="1"/>
      <c r="W111" s="1"/>
      <c r="X111" s="1"/>
      <c r="Y111" s="1"/>
      <c r="Z111" s="11"/>
      <c r="AA111" s="1"/>
    </row>
    <row r="112" ht="15.75" customHeight="1">
      <c r="A112" s="1"/>
      <c r="B112" s="1"/>
      <c r="C112" s="1"/>
      <c r="D112" s="1"/>
      <c r="E112" s="1"/>
      <c r="F112" s="1"/>
      <c r="G112" s="1"/>
      <c r="H112" s="1"/>
      <c r="I112" s="1"/>
      <c r="J112" s="1"/>
      <c r="K112" s="1"/>
      <c r="L112" s="1"/>
      <c r="M112" s="7"/>
      <c r="N112" s="7"/>
      <c r="O112" s="7"/>
      <c r="P112" s="1"/>
      <c r="Q112" s="1"/>
      <c r="R112" s="1"/>
      <c r="S112" s="1"/>
      <c r="T112" s="1"/>
      <c r="U112" s="1"/>
      <c r="V112" s="1"/>
      <c r="W112" s="1"/>
      <c r="X112" s="1"/>
      <c r="Y112" s="1"/>
      <c r="Z112" s="11"/>
      <c r="AA112" s="1"/>
    </row>
    <row r="113" ht="15.75" customHeight="1">
      <c r="A113" s="1"/>
      <c r="B113" s="1"/>
      <c r="C113" s="1"/>
      <c r="D113" s="1"/>
      <c r="E113" s="1"/>
      <c r="F113" s="1"/>
      <c r="G113" s="1"/>
      <c r="H113" s="1"/>
      <c r="I113" s="1"/>
      <c r="J113" s="1"/>
      <c r="K113" s="1"/>
      <c r="L113" s="1"/>
      <c r="M113" s="7"/>
      <c r="N113" s="7"/>
      <c r="O113" s="7"/>
      <c r="P113" s="1"/>
      <c r="Q113" s="1"/>
      <c r="R113" s="1"/>
      <c r="S113" s="1"/>
      <c r="T113" s="1"/>
      <c r="U113" s="1"/>
      <c r="V113" s="1"/>
      <c r="W113" s="1"/>
      <c r="X113" s="1"/>
      <c r="Y113" s="1"/>
      <c r="Z113" s="11"/>
      <c r="AA113" s="1"/>
    </row>
    <row r="114" ht="15.75" customHeight="1">
      <c r="A114" s="1"/>
      <c r="B114" s="1"/>
      <c r="C114" s="1"/>
      <c r="D114" s="1"/>
      <c r="E114" s="1"/>
      <c r="F114" s="1"/>
      <c r="G114" s="1"/>
      <c r="H114" s="1"/>
      <c r="I114" s="1"/>
      <c r="J114" s="1"/>
      <c r="K114" s="1"/>
      <c r="L114" s="1"/>
      <c r="M114" s="7"/>
      <c r="N114" s="7"/>
      <c r="O114" s="7"/>
      <c r="P114" s="1"/>
      <c r="Q114" s="1"/>
      <c r="R114" s="1"/>
      <c r="S114" s="1"/>
      <c r="T114" s="1"/>
      <c r="U114" s="1"/>
      <c r="V114" s="1"/>
      <c r="W114" s="1"/>
      <c r="X114" s="1"/>
      <c r="Y114" s="1"/>
      <c r="Z114" s="11"/>
      <c r="AA114" s="1"/>
    </row>
    <row r="115" ht="15.75" customHeight="1">
      <c r="A115" s="1"/>
      <c r="B115" s="1"/>
      <c r="C115" s="1"/>
      <c r="D115" s="1"/>
      <c r="E115" s="1"/>
      <c r="F115" s="1"/>
      <c r="G115" s="1"/>
      <c r="H115" s="1"/>
      <c r="I115" s="1"/>
      <c r="J115" s="1"/>
      <c r="K115" s="1"/>
      <c r="L115" s="1"/>
      <c r="M115" s="7"/>
      <c r="N115" s="7"/>
      <c r="O115" s="7"/>
      <c r="P115" s="1"/>
      <c r="Q115" s="1"/>
      <c r="R115" s="1"/>
      <c r="S115" s="1"/>
      <c r="T115" s="1"/>
      <c r="U115" s="1"/>
      <c r="V115" s="1"/>
      <c r="W115" s="1"/>
      <c r="X115" s="1"/>
      <c r="Y115" s="1"/>
      <c r="Z115" s="11"/>
      <c r="AA115" s="1"/>
    </row>
    <row r="116" ht="15.75" customHeight="1">
      <c r="A116" s="1"/>
      <c r="B116" s="1"/>
      <c r="C116" s="1"/>
      <c r="D116" s="1"/>
      <c r="E116" s="1"/>
      <c r="F116" s="1"/>
      <c r="G116" s="1"/>
      <c r="H116" s="1"/>
      <c r="I116" s="1"/>
      <c r="J116" s="1"/>
      <c r="K116" s="1"/>
      <c r="L116" s="1"/>
      <c r="M116" s="7"/>
      <c r="N116" s="7"/>
      <c r="O116" s="7"/>
      <c r="P116" s="1"/>
      <c r="Q116" s="1"/>
      <c r="R116" s="1"/>
      <c r="S116" s="1"/>
      <c r="T116" s="1"/>
      <c r="U116" s="1"/>
      <c r="V116" s="1"/>
      <c r="W116" s="1"/>
      <c r="X116" s="1"/>
      <c r="Y116" s="1"/>
      <c r="Z116" s="11"/>
      <c r="AA116" s="1"/>
    </row>
    <row r="117" ht="15.75" customHeight="1">
      <c r="A117" s="1"/>
      <c r="B117" s="1"/>
      <c r="C117" s="1"/>
      <c r="D117" s="1"/>
      <c r="E117" s="1"/>
      <c r="F117" s="1"/>
      <c r="G117" s="1"/>
      <c r="H117" s="1"/>
      <c r="I117" s="1"/>
      <c r="J117" s="1"/>
      <c r="K117" s="1"/>
      <c r="L117" s="1"/>
      <c r="M117" s="7"/>
      <c r="N117" s="7"/>
      <c r="O117" s="7"/>
      <c r="P117" s="1"/>
      <c r="Q117" s="1"/>
      <c r="R117" s="1"/>
      <c r="S117" s="1"/>
      <c r="T117" s="1"/>
      <c r="U117" s="1"/>
      <c r="V117" s="1"/>
      <c r="W117" s="1"/>
      <c r="X117" s="1"/>
      <c r="Y117" s="1"/>
      <c r="Z117" s="11"/>
      <c r="AA117" s="1"/>
    </row>
    <row r="118" ht="15.75" customHeight="1">
      <c r="A118" s="1"/>
      <c r="B118" s="1"/>
      <c r="C118" s="1"/>
      <c r="D118" s="1"/>
      <c r="E118" s="1"/>
      <c r="F118" s="1"/>
      <c r="G118" s="1"/>
      <c r="H118" s="1"/>
      <c r="I118" s="1"/>
      <c r="J118" s="1"/>
      <c r="K118" s="1"/>
      <c r="L118" s="1"/>
      <c r="M118" s="7"/>
      <c r="N118" s="7"/>
      <c r="O118" s="7"/>
      <c r="P118" s="1"/>
      <c r="Q118" s="1"/>
      <c r="R118" s="1"/>
      <c r="S118" s="1"/>
      <c r="T118" s="1"/>
      <c r="U118" s="1"/>
      <c r="V118" s="1"/>
      <c r="W118" s="1"/>
      <c r="X118" s="1"/>
      <c r="Y118" s="1"/>
      <c r="Z118" s="11"/>
      <c r="AA118" s="1"/>
    </row>
    <row r="119" ht="15.75" customHeight="1">
      <c r="A119" s="1"/>
      <c r="B119" s="1"/>
      <c r="C119" s="1"/>
      <c r="D119" s="1"/>
      <c r="E119" s="1"/>
      <c r="F119" s="1"/>
      <c r="G119" s="1"/>
      <c r="H119" s="1"/>
      <c r="I119" s="1"/>
      <c r="J119" s="1"/>
      <c r="K119" s="1"/>
      <c r="L119" s="1"/>
      <c r="M119" s="7"/>
      <c r="N119" s="7"/>
      <c r="O119" s="7"/>
      <c r="P119" s="1"/>
      <c r="Q119" s="1"/>
      <c r="R119" s="1"/>
      <c r="S119" s="1"/>
      <c r="T119" s="1"/>
      <c r="U119" s="1"/>
      <c r="V119" s="1"/>
      <c r="W119" s="1"/>
      <c r="X119" s="1"/>
      <c r="Y119" s="1"/>
      <c r="Z119" s="11"/>
      <c r="AA119" s="1"/>
    </row>
    <row r="120" ht="15.75" customHeight="1">
      <c r="A120" s="1"/>
      <c r="B120" s="1"/>
      <c r="C120" s="1"/>
      <c r="D120" s="1"/>
      <c r="E120" s="1"/>
      <c r="F120" s="1"/>
      <c r="G120" s="1"/>
      <c r="H120" s="1"/>
      <c r="I120" s="1"/>
      <c r="J120" s="1"/>
      <c r="K120" s="1"/>
      <c r="L120" s="1"/>
      <c r="M120" s="7"/>
      <c r="N120" s="7"/>
      <c r="O120" s="7"/>
      <c r="P120" s="1"/>
      <c r="Q120" s="1"/>
      <c r="R120" s="1"/>
      <c r="S120" s="1"/>
      <c r="T120" s="1"/>
      <c r="U120" s="1"/>
      <c r="V120" s="1"/>
      <c r="W120" s="1"/>
      <c r="X120" s="1"/>
      <c r="Y120" s="1"/>
      <c r="Z120" s="11"/>
      <c r="AA120" s="1"/>
    </row>
    <row r="121" ht="15.75" customHeight="1">
      <c r="A121" s="1"/>
      <c r="B121" s="1"/>
      <c r="C121" s="1"/>
      <c r="D121" s="1"/>
      <c r="E121" s="1"/>
      <c r="F121" s="1"/>
      <c r="G121" s="1"/>
      <c r="H121" s="1"/>
      <c r="I121" s="1"/>
      <c r="J121" s="1"/>
      <c r="K121" s="1"/>
      <c r="L121" s="1"/>
      <c r="M121" s="7"/>
      <c r="N121" s="7"/>
      <c r="O121" s="7"/>
      <c r="P121" s="1"/>
      <c r="Q121" s="1"/>
      <c r="R121" s="1"/>
      <c r="S121" s="1"/>
      <c r="T121" s="1"/>
      <c r="U121" s="1"/>
      <c r="V121" s="1"/>
      <c r="W121" s="1"/>
      <c r="X121" s="1"/>
      <c r="Y121" s="1"/>
      <c r="Z121" s="11"/>
      <c r="AA121" s="1"/>
    </row>
    <row r="122" ht="15.75" customHeight="1">
      <c r="A122" s="1"/>
      <c r="B122" s="1"/>
      <c r="C122" s="1"/>
      <c r="D122" s="1"/>
      <c r="E122" s="1"/>
      <c r="F122" s="1"/>
      <c r="G122" s="1"/>
      <c r="H122" s="1"/>
      <c r="I122" s="1"/>
      <c r="J122" s="1"/>
      <c r="K122" s="1"/>
      <c r="L122" s="1"/>
      <c r="M122" s="7"/>
      <c r="N122" s="7"/>
      <c r="O122" s="7"/>
      <c r="P122" s="1"/>
      <c r="Q122" s="1"/>
      <c r="R122" s="1"/>
      <c r="S122" s="1"/>
      <c r="T122" s="1"/>
      <c r="U122" s="1"/>
      <c r="V122" s="1"/>
      <c r="W122" s="1"/>
      <c r="X122" s="1"/>
      <c r="Y122" s="1"/>
      <c r="Z122" s="11"/>
      <c r="AA122" s="1"/>
    </row>
    <row r="123" ht="15.75" customHeight="1">
      <c r="A123" s="1"/>
      <c r="B123" s="1"/>
      <c r="C123" s="1"/>
      <c r="D123" s="1"/>
      <c r="E123" s="1"/>
      <c r="F123" s="1"/>
      <c r="G123" s="1"/>
      <c r="H123" s="1"/>
      <c r="I123" s="1"/>
      <c r="J123" s="1"/>
      <c r="K123" s="1"/>
      <c r="L123" s="1"/>
      <c r="M123" s="7"/>
      <c r="N123" s="7"/>
      <c r="O123" s="7"/>
      <c r="P123" s="1"/>
      <c r="Q123" s="1"/>
      <c r="R123" s="1"/>
      <c r="S123" s="1"/>
      <c r="T123" s="1"/>
      <c r="U123" s="1"/>
      <c r="V123" s="1"/>
      <c r="W123" s="1"/>
      <c r="X123" s="1"/>
      <c r="Y123" s="1"/>
      <c r="Z123" s="11"/>
      <c r="AA123" s="1"/>
    </row>
    <row r="124" ht="15.75" customHeight="1">
      <c r="A124" s="1"/>
      <c r="B124" s="1"/>
      <c r="C124" s="1"/>
      <c r="D124" s="1"/>
      <c r="E124" s="1"/>
      <c r="F124" s="1"/>
      <c r="G124" s="1"/>
      <c r="H124" s="1"/>
      <c r="I124" s="1"/>
      <c r="J124" s="1"/>
      <c r="K124" s="1"/>
      <c r="L124" s="1"/>
      <c r="M124" s="7"/>
      <c r="N124" s="7"/>
      <c r="O124" s="7"/>
      <c r="P124" s="1"/>
      <c r="Q124" s="1"/>
      <c r="R124" s="1"/>
      <c r="S124" s="1"/>
      <c r="T124" s="1"/>
      <c r="U124" s="1"/>
      <c r="V124" s="1"/>
      <c r="W124" s="1"/>
      <c r="X124" s="1"/>
      <c r="Y124" s="1"/>
      <c r="Z124" s="11"/>
      <c r="AA124" s="1"/>
    </row>
    <row r="125" ht="15.75" customHeight="1">
      <c r="A125" s="1"/>
      <c r="B125" s="1"/>
      <c r="C125" s="1"/>
      <c r="D125" s="1"/>
      <c r="E125" s="1"/>
      <c r="F125" s="1"/>
      <c r="G125" s="1"/>
      <c r="H125" s="1"/>
      <c r="I125" s="1"/>
      <c r="J125" s="1"/>
      <c r="K125" s="1"/>
      <c r="L125" s="1"/>
      <c r="M125" s="7"/>
      <c r="N125" s="7"/>
      <c r="O125" s="7"/>
      <c r="P125" s="1"/>
      <c r="Q125" s="1"/>
      <c r="R125" s="1"/>
      <c r="S125" s="1"/>
      <c r="T125" s="1"/>
      <c r="U125" s="1"/>
      <c r="V125" s="1"/>
      <c r="W125" s="1"/>
      <c r="X125" s="1"/>
      <c r="Y125" s="1"/>
      <c r="Z125" s="11"/>
      <c r="AA125" s="1"/>
    </row>
    <row r="126" ht="15.75" customHeight="1">
      <c r="A126" s="1"/>
      <c r="B126" s="1"/>
      <c r="C126" s="1"/>
      <c r="D126" s="1"/>
      <c r="E126" s="1"/>
      <c r="F126" s="1"/>
      <c r="G126" s="1"/>
      <c r="H126" s="1"/>
      <c r="I126" s="1"/>
      <c r="J126" s="1"/>
      <c r="K126" s="1"/>
      <c r="L126" s="1"/>
      <c r="M126" s="7"/>
      <c r="N126" s="7"/>
      <c r="O126" s="7"/>
      <c r="P126" s="1"/>
      <c r="Q126" s="1"/>
      <c r="R126" s="1"/>
      <c r="S126" s="1"/>
      <c r="T126" s="1"/>
      <c r="U126" s="1"/>
      <c r="V126" s="1"/>
      <c r="W126" s="1"/>
      <c r="X126" s="1"/>
      <c r="Y126" s="1"/>
      <c r="Z126" s="11"/>
      <c r="AA126" s="1"/>
    </row>
    <row r="127" ht="15.75" customHeight="1">
      <c r="A127" s="1"/>
      <c r="B127" s="1"/>
      <c r="C127" s="1"/>
      <c r="D127" s="1"/>
      <c r="E127" s="1"/>
      <c r="F127" s="1"/>
      <c r="G127" s="1"/>
      <c r="H127" s="1"/>
      <c r="I127" s="1"/>
      <c r="J127" s="1"/>
      <c r="K127" s="1"/>
      <c r="L127" s="1"/>
      <c r="M127" s="7"/>
      <c r="N127" s="7"/>
      <c r="O127" s="7"/>
      <c r="P127" s="1"/>
      <c r="Q127" s="1"/>
      <c r="R127" s="1"/>
      <c r="S127" s="1"/>
      <c r="T127" s="1"/>
      <c r="U127" s="1"/>
      <c r="V127" s="1"/>
      <c r="W127" s="1"/>
      <c r="X127" s="1"/>
      <c r="Y127" s="1"/>
      <c r="Z127" s="11"/>
      <c r="AA127" s="1"/>
    </row>
    <row r="128" ht="15.75" customHeight="1">
      <c r="A128" s="1"/>
      <c r="B128" s="1"/>
      <c r="C128" s="1"/>
      <c r="D128" s="1"/>
      <c r="E128" s="1"/>
      <c r="F128" s="1"/>
      <c r="G128" s="1"/>
      <c r="H128" s="1"/>
      <c r="I128" s="1"/>
      <c r="J128" s="1"/>
      <c r="K128" s="1"/>
      <c r="L128" s="1"/>
      <c r="M128" s="7"/>
      <c r="N128" s="7"/>
      <c r="O128" s="7"/>
      <c r="P128" s="1"/>
      <c r="Q128" s="1"/>
      <c r="R128" s="1"/>
      <c r="S128" s="1"/>
      <c r="T128" s="1"/>
      <c r="U128" s="1"/>
      <c r="V128" s="1"/>
      <c r="W128" s="1"/>
      <c r="X128" s="1"/>
      <c r="Y128" s="1"/>
      <c r="Z128" s="11"/>
      <c r="AA128" s="1"/>
    </row>
    <row r="129" ht="15.75" customHeight="1">
      <c r="A129" s="1"/>
      <c r="B129" s="1"/>
      <c r="C129" s="1"/>
      <c r="D129" s="1"/>
      <c r="E129" s="1"/>
      <c r="F129" s="1"/>
      <c r="G129" s="1"/>
      <c r="H129" s="1"/>
      <c r="I129" s="1"/>
      <c r="J129" s="1"/>
      <c r="K129" s="1"/>
      <c r="L129" s="1"/>
      <c r="M129" s="7"/>
      <c r="N129" s="7"/>
      <c r="O129" s="7"/>
      <c r="P129" s="1"/>
      <c r="Q129" s="1"/>
      <c r="R129" s="1"/>
      <c r="S129" s="1"/>
      <c r="T129" s="1"/>
      <c r="U129" s="1"/>
      <c r="V129" s="1"/>
      <c r="W129" s="1"/>
      <c r="X129" s="1"/>
      <c r="Y129" s="1"/>
      <c r="Z129" s="11"/>
      <c r="AA129" s="1"/>
    </row>
    <row r="130" ht="15.75" customHeight="1">
      <c r="A130" s="1"/>
      <c r="B130" s="1"/>
      <c r="C130" s="1"/>
      <c r="D130" s="1"/>
      <c r="E130" s="1"/>
      <c r="F130" s="1"/>
      <c r="G130" s="1"/>
      <c r="H130" s="1"/>
      <c r="I130" s="1"/>
      <c r="J130" s="1"/>
      <c r="K130" s="1"/>
      <c r="L130" s="1"/>
      <c r="M130" s="7"/>
      <c r="N130" s="7"/>
      <c r="O130" s="7"/>
      <c r="P130" s="1"/>
      <c r="Q130" s="1"/>
      <c r="R130" s="1"/>
      <c r="S130" s="1"/>
      <c r="T130" s="1"/>
      <c r="U130" s="1"/>
      <c r="V130" s="1"/>
      <c r="W130" s="1"/>
      <c r="X130" s="1"/>
      <c r="Y130" s="1"/>
      <c r="Z130" s="11"/>
      <c r="AA130" s="1"/>
    </row>
    <row r="131" ht="15.75" customHeight="1">
      <c r="A131" s="1"/>
      <c r="B131" s="1"/>
      <c r="C131" s="1"/>
      <c r="D131" s="1"/>
      <c r="E131" s="1"/>
      <c r="F131" s="1"/>
      <c r="G131" s="1"/>
      <c r="H131" s="1"/>
      <c r="I131" s="1"/>
      <c r="J131" s="1"/>
      <c r="K131" s="1"/>
      <c r="L131" s="1"/>
      <c r="M131" s="7"/>
      <c r="N131" s="7"/>
      <c r="O131" s="7"/>
      <c r="P131" s="1"/>
      <c r="Q131" s="1"/>
      <c r="R131" s="1"/>
      <c r="S131" s="1"/>
      <c r="T131" s="1"/>
      <c r="U131" s="1"/>
      <c r="V131" s="1"/>
      <c r="W131" s="1"/>
      <c r="X131" s="1"/>
      <c r="Y131" s="1"/>
      <c r="Z131" s="11"/>
      <c r="AA131" s="1"/>
    </row>
    <row r="132" ht="15.75" customHeight="1">
      <c r="A132" s="1"/>
      <c r="B132" s="1"/>
      <c r="C132" s="1"/>
      <c r="D132" s="1"/>
      <c r="E132" s="1"/>
      <c r="F132" s="1"/>
      <c r="G132" s="1"/>
      <c r="H132" s="1"/>
      <c r="I132" s="1"/>
      <c r="J132" s="1"/>
      <c r="K132" s="1"/>
      <c r="L132" s="1"/>
      <c r="M132" s="7"/>
      <c r="N132" s="7"/>
      <c r="O132" s="7"/>
      <c r="P132" s="1"/>
      <c r="Q132" s="1"/>
      <c r="R132" s="1"/>
      <c r="S132" s="1"/>
      <c r="T132" s="1"/>
      <c r="U132" s="1"/>
      <c r="V132" s="1"/>
      <c r="W132" s="1"/>
      <c r="X132" s="1"/>
      <c r="Y132" s="1"/>
      <c r="Z132" s="11"/>
      <c r="AA132" s="1"/>
    </row>
    <row r="133" ht="15.75" customHeight="1">
      <c r="A133" s="1"/>
      <c r="B133" s="1"/>
      <c r="C133" s="1"/>
      <c r="D133" s="1"/>
      <c r="E133" s="1"/>
      <c r="F133" s="1"/>
      <c r="G133" s="1"/>
      <c r="H133" s="1"/>
      <c r="I133" s="1"/>
      <c r="J133" s="1"/>
      <c r="K133" s="1"/>
      <c r="L133" s="1"/>
      <c r="M133" s="7"/>
      <c r="N133" s="7"/>
      <c r="O133" s="7"/>
      <c r="P133" s="1"/>
      <c r="Q133" s="1"/>
      <c r="R133" s="1"/>
      <c r="S133" s="1"/>
      <c r="T133" s="1"/>
      <c r="U133" s="1"/>
      <c r="V133" s="1"/>
      <c r="W133" s="1"/>
      <c r="X133" s="1"/>
      <c r="Y133" s="1"/>
      <c r="Z133" s="11"/>
      <c r="AA133" s="1"/>
    </row>
    <row r="134" ht="15.75" customHeight="1">
      <c r="A134" s="1"/>
      <c r="B134" s="1"/>
      <c r="C134" s="1"/>
      <c r="D134" s="1"/>
      <c r="E134" s="1"/>
      <c r="F134" s="1"/>
      <c r="G134" s="1"/>
      <c r="H134" s="1"/>
      <c r="I134" s="1"/>
      <c r="J134" s="1"/>
      <c r="K134" s="1"/>
      <c r="L134" s="1"/>
      <c r="M134" s="7"/>
      <c r="N134" s="7"/>
      <c r="O134" s="7"/>
      <c r="P134" s="1"/>
      <c r="Q134" s="1"/>
      <c r="R134" s="1"/>
      <c r="S134" s="1"/>
      <c r="T134" s="1"/>
      <c r="U134" s="1"/>
      <c r="V134" s="1"/>
      <c r="W134" s="1"/>
      <c r="X134" s="1"/>
      <c r="Y134" s="1"/>
      <c r="Z134" s="11"/>
      <c r="AA134" s="1"/>
    </row>
    <row r="135" ht="15.75" customHeight="1">
      <c r="A135" s="1"/>
      <c r="B135" s="1"/>
      <c r="C135" s="1"/>
      <c r="D135" s="1"/>
      <c r="E135" s="1"/>
      <c r="F135" s="1"/>
      <c r="G135" s="1"/>
      <c r="H135" s="1"/>
      <c r="I135" s="1"/>
      <c r="J135" s="1"/>
      <c r="K135" s="1"/>
      <c r="L135" s="1"/>
      <c r="M135" s="7"/>
      <c r="N135" s="7"/>
      <c r="O135" s="7"/>
      <c r="P135" s="1"/>
      <c r="Q135" s="1"/>
      <c r="R135" s="1"/>
      <c r="S135" s="1"/>
      <c r="T135" s="1"/>
      <c r="U135" s="1"/>
      <c r="V135" s="1"/>
      <c r="W135" s="1"/>
      <c r="X135" s="1"/>
      <c r="Y135" s="1"/>
      <c r="Z135" s="11"/>
      <c r="AA135" s="1"/>
    </row>
    <row r="136" ht="15.75" customHeight="1">
      <c r="A136" s="1"/>
      <c r="B136" s="1"/>
      <c r="C136" s="1"/>
      <c r="D136" s="1"/>
      <c r="E136" s="1"/>
      <c r="F136" s="1"/>
      <c r="G136" s="1"/>
      <c r="H136" s="1"/>
      <c r="I136" s="1"/>
      <c r="J136" s="1"/>
      <c r="K136" s="1"/>
      <c r="L136" s="1"/>
      <c r="M136" s="7"/>
      <c r="N136" s="7"/>
      <c r="O136" s="7"/>
      <c r="P136" s="1"/>
      <c r="Q136" s="1"/>
      <c r="R136" s="1"/>
      <c r="S136" s="1"/>
      <c r="T136" s="1"/>
      <c r="U136" s="1"/>
      <c r="V136" s="1"/>
      <c r="W136" s="1"/>
      <c r="X136" s="1"/>
      <c r="Y136" s="1"/>
      <c r="Z136" s="11"/>
      <c r="AA136" s="1"/>
    </row>
    <row r="137" ht="15.75" customHeight="1">
      <c r="A137" s="1"/>
      <c r="B137" s="1"/>
      <c r="C137" s="1"/>
      <c r="D137" s="1"/>
      <c r="E137" s="1"/>
      <c r="F137" s="1"/>
      <c r="G137" s="1"/>
      <c r="H137" s="1"/>
      <c r="I137" s="1"/>
      <c r="J137" s="1"/>
      <c r="K137" s="1"/>
      <c r="L137" s="1"/>
      <c r="M137" s="7"/>
      <c r="N137" s="7"/>
      <c r="O137" s="7"/>
      <c r="P137" s="1"/>
      <c r="Q137" s="1"/>
      <c r="R137" s="1"/>
      <c r="S137" s="1"/>
      <c r="T137" s="1"/>
      <c r="U137" s="1"/>
      <c r="V137" s="1"/>
      <c r="W137" s="1"/>
      <c r="X137" s="1"/>
      <c r="Y137" s="1"/>
      <c r="Z137" s="11"/>
      <c r="AA137" s="1"/>
    </row>
    <row r="138" ht="15.75" customHeight="1">
      <c r="A138" s="1"/>
      <c r="B138" s="1"/>
      <c r="C138" s="1"/>
      <c r="D138" s="1"/>
      <c r="E138" s="1"/>
      <c r="F138" s="1"/>
      <c r="G138" s="1"/>
      <c r="H138" s="1"/>
      <c r="I138" s="1"/>
      <c r="J138" s="1"/>
      <c r="K138" s="1"/>
      <c r="L138" s="1"/>
      <c r="M138" s="7"/>
      <c r="N138" s="7"/>
      <c r="O138" s="7"/>
      <c r="P138" s="1"/>
      <c r="Q138" s="1"/>
      <c r="R138" s="1"/>
      <c r="S138" s="1"/>
      <c r="T138" s="1"/>
      <c r="U138" s="1"/>
      <c r="V138" s="1"/>
      <c r="W138" s="1"/>
      <c r="X138" s="1"/>
      <c r="Y138" s="1"/>
      <c r="Z138" s="11"/>
      <c r="AA138" s="1"/>
    </row>
    <row r="139" ht="15.75" customHeight="1">
      <c r="A139" s="1"/>
      <c r="B139" s="1"/>
      <c r="C139" s="1"/>
      <c r="D139" s="1"/>
      <c r="E139" s="1"/>
      <c r="F139" s="1"/>
      <c r="G139" s="1"/>
      <c r="H139" s="1"/>
      <c r="I139" s="1"/>
      <c r="J139" s="1"/>
      <c r="K139" s="1"/>
      <c r="L139" s="1"/>
      <c r="M139" s="7"/>
      <c r="N139" s="7"/>
      <c r="O139" s="7"/>
      <c r="P139" s="1"/>
      <c r="Q139" s="1"/>
      <c r="R139" s="1"/>
      <c r="S139" s="1"/>
      <c r="T139" s="1"/>
      <c r="U139" s="1"/>
      <c r="V139" s="1"/>
      <c r="W139" s="1"/>
      <c r="X139" s="1"/>
      <c r="Y139" s="1"/>
      <c r="Z139" s="11"/>
      <c r="AA139" s="1"/>
    </row>
    <row r="140" ht="15.75" customHeight="1">
      <c r="A140" s="1"/>
      <c r="B140" s="1"/>
      <c r="C140" s="1"/>
      <c r="D140" s="1"/>
      <c r="E140" s="1"/>
      <c r="F140" s="1"/>
      <c r="G140" s="1"/>
      <c r="H140" s="1"/>
      <c r="I140" s="1"/>
      <c r="J140" s="1"/>
      <c r="K140" s="1"/>
      <c r="L140" s="1"/>
      <c r="M140" s="7"/>
      <c r="N140" s="7"/>
      <c r="O140" s="7"/>
      <c r="P140" s="1"/>
      <c r="Q140" s="1"/>
      <c r="R140" s="1"/>
      <c r="S140" s="1"/>
      <c r="T140" s="1"/>
      <c r="U140" s="1"/>
      <c r="V140" s="1"/>
      <c r="W140" s="1"/>
      <c r="X140" s="1"/>
      <c r="Y140" s="1"/>
      <c r="Z140" s="11"/>
      <c r="AA140" s="1"/>
    </row>
    <row r="141" ht="15.75" customHeight="1">
      <c r="A141" s="1"/>
      <c r="B141" s="1"/>
      <c r="C141" s="1"/>
      <c r="D141" s="1"/>
      <c r="E141" s="1"/>
      <c r="F141" s="1"/>
      <c r="G141" s="1"/>
      <c r="H141" s="1"/>
      <c r="I141" s="1"/>
      <c r="J141" s="1"/>
      <c r="K141" s="1"/>
      <c r="L141" s="1"/>
      <c r="M141" s="7"/>
      <c r="N141" s="7"/>
      <c r="O141" s="7"/>
      <c r="P141" s="1"/>
      <c r="Q141" s="1"/>
      <c r="R141" s="1"/>
      <c r="S141" s="1"/>
      <c r="T141" s="1"/>
      <c r="U141" s="1"/>
      <c r="V141" s="1"/>
      <c r="W141" s="1"/>
      <c r="X141" s="1"/>
      <c r="Y141" s="1"/>
      <c r="Z141" s="11"/>
      <c r="AA141" s="1"/>
    </row>
    <row r="142" ht="15.75" customHeight="1">
      <c r="A142" s="1"/>
      <c r="B142" s="1"/>
      <c r="C142" s="1"/>
      <c r="D142" s="1"/>
      <c r="E142" s="1"/>
      <c r="F142" s="1"/>
      <c r="G142" s="1"/>
      <c r="H142" s="1"/>
      <c r="I142" s="1"/>
      <c r="J142" s="1"/>
      <c r="K142" s="1"/>
      <c r="L142" s="1"/>
      <c r="M142" s="7"/>
      <c r="N142" s="7"/>
      <c r="O142" s="7"/>
      <c r="P142" s="1"/>
      <c r="Q142" s="1"/>
      <c r="R142" s="1"/>
      <c r="S142" s="1"/>
      <c r="T142" s="1"/>
      <c r="U142" s="1"/>
      <c r="V142" s="1"/>
      <c r="W142" s="1"/>
      <c r="X142" s="1"/>
      <c r="Y142" s="1"/>
      <c r="Z142" s="11"/>
      <c r="AA142" s="1"/>
    </row>
    <row r="143" ht="15.75" customHeight="1">
      <c r="A143" s="1"/>
      <c r="B143" s="1"/>
      <c r="C143" s="1"/>
      <c r="D143" s="1"/>
      <c r="E143" s="1"/>
      <c r="F143" s="1"/>
      <c r="G143" s="1"/>
      <c r="H143" s="1"/>
      <c r="I143" s="1"/>
      <c r="J143" s="1"/>
      <c r="K143" s="1"/>
      <c r="L143" s="1"/>
      <c r="M143" s="7"/>
      <c r="N143" s="7"/>
      <c r="O143" s="7"/>
      <c r="P143" s="1"/>
      <c r="Q143" s="1"/>
      <c r="R143" s="1"/>
      <c r="S143" s="1"/>
      <c r="T143" s="1"/>
      <c r="U143" s="1"/>
      <c r="V143" s="1"/>
      <c r="W143" s="1"/>
      <c r="X143" s="1"/>
      <c r="Y143" s="1"/>
      <c r="Z143" s="11"/>
      <c r="AA143" s="1"/>
    </row>
    <row r="144" ht="15.75" customHeight="1">
      <c r="A144" s="1"/>
      <c r="B144" s="1"/>
      <c r="C144" s="1"/>
      <c r="D144" s="1"/>
      <c r="E144" s="1"/>
      <c r="F144" s="1"/>
      <c r="G144" s="1"/>
      <c r="H144" s="1"/>
      <c r="I144" s="1"/>
      <c r="J144" s="1"/>
      <c r="K144" s="1"/>
      <c r="L144" s="1"/>
      <c r="M144" s="7"/>
      <c r="N144" s="7"/>
      <c r="O144" s="7"/>
      <c r="P144" s="1"/>
      <c r="Q144" s="1"/>
      <c r="R144" s="1"/>
      <c r="S144" s="1"/>
      <c r="T144" s="1"/>
      <c r="U144" s="1"/>
      <c r="V144" s="1"/>
      <c r="W144" s="1"/>
      <c r="X144" s="1"/>
      <c r="Y144" s="1"/>
      <c r="Z144" s="11"/>
      <c r="AA144" s="1"/>
    </row>
    <row r="145" ht="15.75" customHeight="1">
      <c r="A145" s="1"/>
      <c r="B145" s="1"/>
      <c r="C145" s="1"/>
      <c r="D145" s="1"/>
      <c r="E145" s="1"/>
      <c r="F145" s="1"/>
      <c r="G145" s="1"/>
      <c r="H145" s="1"/>
      <c r="I145" s="1"/>
      <c r="J145" s="1"/>
      <c r="K145" s="1"/>
      <c r="L145" s="1"/>
      <c r="M145" s="7"/>
      <c r="N145" s="7"/>
      <c r="O145" s="7"/>
      <c r="P145" s="1"/>
      <c r="Q145" s="1"/>
      <c r="R145" s="1"/>
      <c r="S145" s="1"/>
      <c r="T145" s="1"/>
      <c r="U145" s="1"/>
      <c r="V145" s="1"/>
      <c r="W145" s="1"/>
      <c r="X145" s="1"/>
      <c r="Y145" s="1"/>
      <c r="Z145" s="11"/>
      <c r="AA145" s="1"/>
    </row>
    <row r="146" ht="15.75" customHeight="1">
      <c r="A146" s="1"/>
      <c r="B146" s="1"/>
      <c r="C146" s="1"/>
      <c r="D146" s="1"/>
      <c r="E146" s="1"/>
      <c r="F146" s="1"/>
      <c r="G146" s="1"/>
      <c r="H146" s="1"/>
      <c r="I146" s="1"/>
      <c r="J146" s="1"/>
      <c r="K146" s="1"/>
      <c r="L146" s="1"/>
      <c r="M146" s="7"/>
      <c r="N146" s="7"/>
      <c r="O146" s="7"/>
      <c r="P146" s="1"/>
      <c r="Q146" s="1"/>
      <c r="R146" s="1"/>
      <c r="S146" s="1"/>
      <c r="T146" s="1"/>
      <c r="U146" s="1"/>
      <c r="V146" s="1"/>
      <c r="W146" s="1"/>
      <c r="X146" s="1"/>
      <c r="Y146" s="1"/>
      <c r="Z146" s="11"/>
      <c r="AA146" s="1"/>
    </row>
    <row r="147" ht="15.75" customHeight="1">
      <c r="A147" s="1"/>
      <c r="B147" s="1"/>
      <c r="C147" s="1"/>
      <c r="D147" s="1"/>
      <c r="E147" s="1"/>
      <c r="F147" s="1"/>
      <c r="G147" s="1"/>
      <c r="H147" s="1"/>
      <c r="I147" s="1"/>
      <c r="J147" s="1"/>
      <c r="K147" s="1"/>
      <c r="L147" s="1"/>
      <c r="M147" s="7"/>
      <c r="N147" s="7"/>
      <c r="O147" s="7"/>
      <c r="P147" s="1"/>
      <c r="Q147" s="1"/>
      <c r="R147" s="1"/>
      <c r="S147" s="1"/>
      <c r="T147" s="1"/>
      <c r="U147" s="1"/>
      <c r="V147" s="1"/>
      <c r="W147" s="1"/>
      <c r="X147" s="1"/>
      <c r="Y147" s="1"/>
      <c r="Z147" s="11"/>
      <c r="AA147" s="1"/>
    </row>
    <row r="148" ht="15.75" customHeight="1">
      <c r="A148" s="1"/>
      <c r="B148" s="1"/>
      <c r="C148" s="1"/>
      <c r="D148" s="1"/>
      <c r="E148" s="1"/>
      <c r="F148" s="1"/>
      <c r="G148" s="1"/>
      <c r="H148" s="1"/>
      <c r="I148" s="1"/>
      <c r="J148" s="1"/>
      <c r="K148" s="1"/>
      <c r="L148" s="1"/>
      <c r="M148" s="7"/>
      <c r="N148" s="7"/>
      <c r="O148" s="7"/>
      <c r="P148" s="1"/>
      <c r="Q148" s="1"/>
      <c r="R148" s="1"/>
      <c r="S148" s="1"/>
      <c r="T148" s="1"/>
      <c r="U148" s="1"/>
      <c r="V148" s="1"/>
      <c r="W148" s="1"/>
      <c r="X148" s="1"/>
      <c r="Y148" s="1"/>
      <c r="Z148" s="11"/>
      <c r="AA148" s="1"/>
    </row>
    <row r="149" ht="15.75" customHeight="1">
      <c r="A149" s="1"/>
      <c r="B149" s="1"/>
      <c r="C149" s="1"/>
      <c r="D149" s="1"/>
      <c r="E149" s="1"/>
      <c r="F149" s="1"/>
      <c r="G149" s="1"/>
      <c r="H149" s="1"/>
      <c r="I149" s="1"/>
      <c r="J149" s="1"/>
      <c r="K149" s="1"/>
      <c r="L149" s="1"/>
      <c r="M149" s="7"/>
      <c r="N149" s="7"/>
      <c r="O149" s="7"/>
      <c r="P149" s="1"/>
      <c r="Q149" s="1"/>
      <c r="R149" s="1"/>
      <c r="S149" s="1"/>
      <c r="T149" s="1"/>
      <c r="U149" s="1"/>
      <c r="V149" s="1"/>
      <c r="W149" s="1"/>
      <c r="X149" s="1"/>
      <c r="Y149" s="1"/>
      <c r="Z149" s="11"/>
      <c r="AA149" s="1"/>
    </row>
    <row r="150" ht="15.75" customHeight="1">
      <c r="A150" s="1"/>
      <c r="B150" s="1"/>
      <c r="C150" s="1"/>
      <c r="D150" s="1"/>
      <c r="E150" s="1"/>
      <c r="F150" s="1"/>
      <c r="G150" s="1"/>
      <c r="H150" s="1"/>
      <c r="I150" s="1"/>
      <c r="J150" s="1"/>
      <c r="K150" s="1"/>
      <c r="L150" s="1"/>
      <c r="M150" s="7"/>
      <c r="N150" s="7"/>
      <c r="O150" s="7"/>
      <c r="P150" s="1"/>
      <c r="Q150" s="1"/>
      <c r="R150" s="1"/>
      <c r="S150" s="1"/>
      <c r="T150" s="1"/>
      <c r="U150" s="1"/>
      <c r="V150" s="1"/>
      <c r="W150" s="1"/>
      <c r="X150" s="1"/>
      <c r="Y150" s="1"/>
      <c r="Z150" s="11"/>
      <c r="AA150" s="1"/>
    </row>
    <row r="151" ht="15.75" customHeight="1">
      <c r="A151" s="1"/>
      <c r="B151" s="1"/>
      <c r="C151" s="1"/>
      <c r="D151" s="1"/>
      <c r="E151" s="1"/>
      <c r="F151" s="1"/>
      <c r="G151" s="1"/>
      <c r="H151" s="1"/>
      <c r="I151" s="1"/>
      <c r="J151" s="1"/>
      <c r="K151" s="1"/>
      <c r="L151" s="1"/>
      <c r="M151" s="7"/>
      <c r="N151" s="7"/>
      <c r="O151" s="7"/>
      <c r="P151" s="1"/>
      <c r="Q151" s="1"/>
      <c r="R151" s="1"/>
      <c r="S151" s="1"/>
      <c r="T151" s="1"/>
      <c r="U151" s="1"/>
      <c r="V151" s="1"/>
      <c r="W151" s="1"/>
      <c r="X151" s="1"/>
      <c r="Y151" s="1"/>
      <c r="Z151" s="11"/>
      <c r="AA151" s="1"/>
    </row>
    <row r="152" ht="15.75" customHeight="1">
      <c r="A152" s="1"/>
      <c r="B152" s="1"/>
      <c r="C152" s="1"/>
      <c r="D152" s="1"/>
      <c r="E152" s="1"/>
      <c r="F152" s="1"/>
      <c r="G152" s="1"/>
      <c r="H152" s="1"/>
      <c r="I152" s="1"/>
      <c r="J152" s="1"/>
      <c r="K152" s="1"/>
      <c r="L152" s="1"/>
      <c r="M152" s="7"/>
      <c r="N152" s="7"/>
      <c r="O152" s="7"/>
      <c r="P152" s="1"/>
      <c r="Q152" s="1"/>
      <c r="R152" s="1"/>
      <c r="S152" s="1"/>
      <c r="T152" s="1"/>
      <c r="U152" s="1"/>
      <c r="V152" s="1"/>
      <c r="W152" s="1"/>
      <c r="X152" s="1"/>
      <c r="Y152" s="1"/>
      <c r="Z152" s="11"/>
      <c r="AA152" s="1"/>
    </row>
    <row r="153" ht="15.75" customHeight="1">
      <c r="A153" s="1"/>
      <c r="B153" s="1"/>
      <c r="C153" s="1"/>
      <c r="D153" s="1"/>
      <c r="E153" s="1"/>
      <c r="F153" s="1"/>
      <c r="G153" s="1"/>
      <c r="H153" s="1"/>
      <c r="I153" s="1"/>
      <c r="J153" s="1"/>
      <c r="K153" s="1"/>
      <c r="L153" s="1"/>
      <c r="M153" s="7"/>
      <c r="N153" s="7"/>
      <c r="O153" s="7"/>
      <c r="P153" s="1"/>
      <c r="Q153" s="1"/>
      <c r="R153" s="1"/>
      <c r="S153" s="1"/>
      <c r="T153" s="1"/>
      <c r="U153" s="1"/>
      <c r="V153" s="1"/>
      <c r="W153" s="1"/>
      <c r="X153" s="1"/>
      <c r="Y153" s="1"/>
      <c r="Z153" s="11"/>
      <c r="AA153" s="1"/>
    </row>
    <row r="154" ht="15.75" customHeight="1">
      <c r="A154" s="1"/>
      <c r="B154" s="1"/>
      <c r="C154" s="1"/>
      <c r="D154" s="1"/>
      <c r="E154" s="1"/>
      <c r="F154" s="1"/>
      <c r="G154" s="1"/>
      <c r="H154" s="1"/>
      <c r="I154" s="1"/>
      <c r="J154" s="1"/>
      <c r="K154" s="1"/>
      <c r="L154" s="1"/>
      <c r="M154" s="7"/>
      <c r="N154" s="7"/>
      <c r="O154" s="7"/>
      <c r="P154" s="1"/>
      <c r="Q154" s="1"/>
      <c r="R154" s="1"/>
      <c r="S154" s="1"/>
      <c r="T154" s="1"/>
      <c r="U154" s="1"/>
      <c r="V154" s="1"/>
      <c r="W154" s="1"/>
      <c r="X154" s="1"/>
      <c r="Y154" s="1"/>
      <c r="Z154" s="11"/>
      <c r="AA154" s="1"/>
    </row>
    <row r="155" ht="15.75" customHeight="1">
      <c r="A155" s="1"/>
      <c r="B155" s="1"/>
      <c r="C155" s="1"/>
      <c r="D155" s="1"/>
      <c r="E155" s="1"/>
      <c r="F155" s="1"/>
      <c r="G155" s="1"/>
      <c r="H155" s="1"/>
      <c r="I155" s="1"/>
      <c r="J155" s="1"/>
      <c r="K155" s="1"/>
      <c r="L155" s="1"/>
      <c r="M155" s="7"/>
      <c r="N155" s="7"/>
      <c r="O155" s="7"/>
      <c r="P155" s="1"/>
      <c r="Q155" s="1"/>
      <c r="R155" s="1"/>
      <c r="S155" s="1"/>
      <c r="T155" s="1"/>
      <c r="U155" s="1"/>
      <c r="V155" s="1"/>
      <c r="W155" s="1"/>
      <c r="X155" s="1"/>
      <c r="Y155" s="1"/>
      <c r="Z155" s="11"/>
      <c r="AA155" s="1"/>
    </row>
    <row r="156" ht="15.75" customHeight="1">
      <c r="A156" s="1"/>
      <c r="B156" s="1"/>
      <c r="C156" s="1"/>
      <c r="D156" s="1"/>
      <c r="E156" s="1"/>
      <c r="F156" s="1"/>
      <c r="G156" s="1"/>
      <c r="H156" s="1"/>
      <c r="I156" s="1"/>
      <c r="J156" s="1"/>
      <c r="K156" s="1"/>
      <c r="L156" s="1"/>
      <c r="M156" s="7"/>
      <c r="N156" s="7"/>
      <c r="O156" s="7"/>
      <c r="P156" s="1"/>
      <c r="Q156" s="1"/>
      <c r="R156" s="1"/>
      <c r="S156" s="1"/>
      <c r="T156" s="1"/>
      <c r="U156" s="1"/>
      <c r="V156" s="1"/>
      <c r="W156" s="1"/>
      <c r="X156" s="1"/>
      <c r="Y156" s="1"/>
      <c r="Z156" s="11"/>
      <c r="AA156" s="1"/>
    </row>
    <row r="157" ht="15.75" customHeight="1">
      <c r="A157" s="1"/>
      <c r="B157" s="1"/>
      <c r="C157" s="1"/>
      <c r="D157" s="1"/>
      <c r="E157" s="1"/>
      <c r="F157" s="1"/>
      <c r="G157" s="1"/>
      <c r="H157" s="1"/>
      <c r="I157" s="1"/>
      <c r="J157" s="1"/>
      <c r="K157" s="1"/>
      <c r="L157" s="1"/>
      <c r="M157" s="7"/>
      <c r="N157" s="7"/>
      <c r="O157" s="7"/>
      <c r="P157" s="1"/>
      <c r="Q157" s="1"/>
      <c r="R157" s="1"/>
      <c r="S157" s="1"/>
      <c r="T157" s="1"/>
      <c r="U157" s="1"/>
      <c r="V157" s="1"/>
      <c r="W157" s="1"/>
      <c r="X157" s="1"/>
      <c r="Y157" s="1"/>
      <c r="Z157" s="11"/>
      <c r="AA157" s="1"/>
    </row>
    <row r="158" ht="15.75" customHeight="1">
      <c r="A158" s="1"/>
      <c r="B158" s="1"/>
      <c r="C158" s="1"/>
      <c r="D158" s="1"/>
      <c r="E158" s="1"/>
      <c r="F158" s="1"/>
      <c r="G158" s="1"/>
      <c r="H158" s="1"/>
      <c r="I158" s="1"/>
      <c r="J158" s="1"/>
      <c r="K158" s="1"/>
      <c r="L158" s="1"/>
      <c r="M158" s="7"/>
      <c r="N158" s="7"/>
      <c r="O158" s="7"/>
      <c r="P158" s="1"/>
      <c r="Q158" s="1"/>
      <c r="R158" s="1"/>
      <c r="S158" s="1"/>
      <c r="T158" s="1"/>
      <c r="U158" s="1"/>
      <c r="V158" s="1"/>
      <c r="W158" s="1"/>
      <c r="X158" s="1"/>
      <c r="Y158" s="1"/>
      <c r="Z158" s="11"/>
      <c r="AA158" s="1"/>
    </row>
    <row r="159" ht="15.75" customHeight="1">
      <c r="A159" s="1"/>
      <c r="B159" s="1"/>
      <c r="C159" s="1"/>
      <c r="D159" s="1"/>
      <c r="E159" s="1"/>
      <c r="F159" s="1"/>
      <c r="G159" s="1"/>
      <c r="H159" s="1"/>
      <c r="I159" s="1"/>
      <c r="J159" s="1"/>
      <c r="K159" s="1"/>
      <c r="L159" s="1"/>
      <c r="M159" s="7"/>
      <c r="N159" s="7"/>
      <c r="O159" s="7"/>
      <c r="P159" s="1"/>
      <c r="Q159" s="1"/>
      <c r="R159" s="1"/>
      <c r="S159" s="1"/>
      <c r="T159" s="1"/>
      <c r="U159" s="1"/>
      <c r="V159" s="1"/>
      <c r="W159" s="1"/>
      <c r="X159" s="1"/>
      <c r="Y159" s="1"/>
      <c r="Z159" s="11"/>
      <c r="AA159" s="1"/>
    </row>
    <row r="160" ht="15.75" customHeight="1">
      <c r="A160" s="1"/>
      <c r="B160" s="1"/>
      <c r="C160" s="1"/>
      <c r="D160" s="1"/>
      <c r="E160" s="1"/>
      <c r="F160" s="1"/>
      <c r="G160" s="1"/>
      <c r="H160" s="1"/>
      <c r="I160" s="1"/>
      <c r="J160" s="1"/>
      <c r="K160" s="1"/>
      <c r="L160" s="1"/>
      <c r="M160" s="7"/>
      <c r="N160" s="7"/>
      <c r="O160" s="7"/>
      <c r="P160" s="1"/>
      <c r="Q160" s="1"/>
      <c r="R160" s="1"/>
      <c r="S160" s="1"/>
      <c r="T160" s="1"/>
      <c r="U160" s="1"/>
      <c r="V160" s="1"/>
      <c r="W160" s="1"/>
      <c r="X160" s="1"/>
      <c r="Y160" s="1"/>
      <c r="Z160" s="11"/>
      <c r="AA160" s="1"/>
    </row>
    <row r="161" ht="15.75" customHeight="1">
      <c r="A161" s="1"/>
      <c r="B161" s="1"/>
      <c r="C161" s="1"/>
      <c r="D161" s="1"/>
      <c r="E161" s="1"/>
      <c r="F161" s="1"/>
      <c r="G161" s="1"/>
      <c r="H161" s="1"/>
      <c r="I161" s="1"/>
      <c r="J161" s="1"/>
      <c r="K161" s="1"/>
      <c r="L161" s="1"/>
      <c r="M161" s="7"/>
      <c r="N161" s="7"/>
      <c r="O161" s="7"/>
      <c r="P161" s="1"/>
      <c r="Q161" s="1"/>
      <c r="R161" s="1"/>
      <c r="S161" s="1"/>
      <c r="T161" s="1"/>
      <c r="U161" s="1"/>
      <c r="V161" s="1"/>
      <c r="W161" s="1"/>
      <c r="X161" s="1"/>
      <c r="Y161" s="1"/>
      <c r="Z161" s="11"/>
      <c r="AA161" s="1"/>
    </row>
    <row r="162" ht="15.75" customHeight="1">
      <c r="A162" s="1"/>
      <c r="B162" s="1"/>
      <c r="C162" s="1"/>
      <c r="D162" s="1"/>
      <c r="E162" s="1"/>
      <c r="F162" s="1"/>
      <c r="G162" s="1"/>
      <c r="H162" s="1"/>
      <c r="I162" s="1"/>
      <c r="J162" s="1"/>
      <c r="K162" s="1"/>
      <c r="L162" s="1"/>
      <c r="M162" s="7"/>
      <c r="N162" s="7"/>
      <c r="O162" s="7"/>
      <c r="P162" s="1"/>
      <c r="Q162" s="1"/>
      <c r="R162" s="1"/>
      <c r="S162" s="1"/>
      <c r="T162" s="1"/>
      <c r="U162" s="1"/>
      <c r="V162" s="1"/>
      <c r="W162" s="1"/>
      <c r="X162" s="1"/>
      <c r="Y162" s="1"/>
      <c r="Z162" s="11"/>
      <c r="AA162" s="1"/>
    </row>
    <row r="163" ht="15.75" customHeight="1">
      <c r="A163" s="1"/>
      <c r="B163" s="1"/>
      <c r="C163" s="1"/>
      <c r="D163" s="1"/>
      <c r="E163" s="1"/>
      <c r="F163" s="1"/>
      <c r="G163" s="1"/>
      <c r="H163" s="1"/>
      <c r="I163" s="1"/>
      <c r="J163" s="1"/>
      <c r="K163" s="1"/>
      <c r="L163" s="1"/>
      <c r="M163" s="7"/>
      <c r="N163" s="7"/>
      <c r="O163" s="7"/>
      <c r="P163" s="1"/>
      <c r="Q163" s="1"/>
      <c r="R163" s="1"/>
      <c r="S163" s="1"/>
      <c r="T163" s="1"/>
      <c r="U163" s="1"/>
      <c r="V163" s="1"/>
      <c r="W163" s="1"/>
      <c r="X163" s="1"/>
      <c r="Y163" s="1"/>
      <c r="Z163" s="11"/>
      <c r="AA163" s="1"/>
    </row>
    <row r="164" ht="15.75" customHeight="1">
      <c r="A164" s="1"/>
      <c r="B164" s="1"/>
      <c r="C164" s="1"/>
      <c r="D164" s="1"/>
      <c r="E164" s="1"/>
      <c r="F164" s="1"/>
      <c r="G164" s="1"/>
      <c r="H164" s="1"/>
      <c r="I164" s="1"/>
      <c r="J164" s="1"/>
      <c r="K164" s="1"/>
      <c r="L164" s="1"/>
      <c r="M164" s="7"/>
      <c r="N164" s="7"/>
      <c r="O164" s="7"/>
      <c r="P164" s="1"/>
      <c r="Q164" s="1"/>
      <c r="R164" s="1"/>
      <c r="S164" s="1"/>
      <c r="T164" s="1"/>
      <c r="U164" s="1"/>
      <c r="V164" s="1"/>
      <c r="W164" s="1"/>
      <c r="X164" s="1"/>
      <c r="Y164" s="1"/>
      <c r="Z164" s="11"/>
      <c r="AA164" s="1"/>
    </row>
    <row r="165" ht="15.75" customHeight="1">
      <c r="A165" s="1"/>
      <c r="B165" s="1"/>
      <c r="C165" s="1"/>
      <c r="D165" s="1"/>
      <c r="E165" s="1"/>
      <c r="F165" s="1"/>
      <c r="G165" s="1"/>
      <c r="H165" s="1"/>
      <c r="I165" s="1"/>
      <c r="J165" s="1"/>
      <c r="K165" s="1"/>
      <c r="L165" s="1"/>
      <c r="M165" s="7"/>
      <c r="N165" s="7"/>
      <c r="O165" s="7"/>
      <c r="P165" s="1"/>
      <c r="Q165" s="1"/>
      <c r="R165" s="1"/>
      <c r="S165" s="1"/>
      <c r="T165" s="1"/>
      <c r="U165" s="1"/>
      <c r="V165" s="1"/>
      <c r="W165" s="1"/>
      <c r="X165" s="1"/>
      <c r="Y165" s="1"/>
      <c r="Z165" s="11"/>
      <c r="AA165" s="1"/>
    </row>
    <row r="166" ht="15.75" customHeight="1">
      <c r="A166" s="1"/>
      <c r="B166" s="1"/>
      <c r="C166" s="1"/>
      <c r="D166" s="1"/>
      <c r="E166" s="1"/>
      <c r="F166" s="1"/>
      <c r="G166" s="1"/>
      <c r="H166" s="1"/>
      <c r="I166" s="1"/>
      <c r="J166" s="1"/>
      <c r="K166" s="1"/>
      <c r="L166" s="1"/>
      <c r="M166" s="7"/>
      <c r="N166" s="7"/>
      <c r="O166" s="7"/>
      <c r="P166" s="1"/>
      <c r="Q166" s="1"/>
      <c r="R166" s="1"/>
      <c r="S166" s="1"/>
      <c r="T166" s="1"/>
      <c r="U166" s="1"/>
      <c r="V166" s="1"/>
      <c r="W166" s="1"/>
      <c r="X166" s="1"/>
      <c r="Y166" s="1"/>
      <c r="Z166" s="11"/>
      <c r="AA166" s="1"/>
    </row>
    <row r="167" ht="15.75" customHeight="1">
      <c r="A167" s="1"/>
      <c r="B167" s="1"/>
      <c r="C167" s="1"/>
      <c r="D167" s="1"/>
      <c r="E167" s="1"/>
      <c r="F167" s="1"/>
      <c r="G167" s="1"/>
      <c r="H167" s="1"/>
      <c r="I167" s="1"/>
      <c r="J167" s="1"/>
      <c r="K167" s="1"/>
      <c r="L167" s="1"/>
      <c r="M167" s="7"/>
      <c r="N167" s="7"/>
      <c r="O167" s="7"/>
      <c r="P167" s="1"/>
      <c r="Q167" s="1"/>
      <c r="R167" s="1"/>
      <c r="S167" s="1"/>
      <c r="T167" s="1"/>
      <c r="U167" s="1"/>
      <c r="V167" s="1"/>
      <c r="W167" s="1"/>
      <c r="X167" s="1"/>
      <c r="Y167" s="1"/>
      <c r="Z167" s="11"/>
      <c r="AA167" s="1"/>
    </row>
    <row r="168" ht="15.75" customHeight="1">
      <c r="A168" s="1"/>
      <c r="B168" s="1"/>
      <c r="C168" s="1"/>
      <c r="D168" s="1"/>
      <c r="E168" s="1"/>
      <c r="F168" s="1"/>
      <c r="G168" s="1"/>
      <c r="H168" s="1"/>
      <c r="I168" s="1"/>
      <c r="J168" s="1"/>
      <c r="K168" s="1"/>
      <c r="L168" s="1"/>
      <c r="M168" s="7"/>
      <c r="N168" s="7"/>
      <c r="O168" s="7"/>
      <c r="P168" s="1"/>
      <c r="Q168" s="1"/>
      <c r="R168" s="1"/>
      <c r="S168" s="1"/>
      <c r="T168" s="1"/>
      <c r="U168" s="1"/>
      <c r="V168" s="1"/>
      <c r="W168" s="1"/>
      <c r="X168" s="1"/>
      <c r="Y168" s="1"/>
      <c r="Z168" s="11"/>
      <c r="AA168" s="1"/>
    </row>
    <row r="169" ht="15.75" customHeight="1">
      <c r="A169" s="1"/>
      <c r="B169" s="1"/>
      <c r="C169" s="1"/>
      <c r="D169" s="1"/>
      <c r="E169" s="1"/>
      <c r="F169" s="1"/>
      <c r="G169" s="1"/>
      <c r="H169" s="1"/>
      <c r="I169" s="1"/>
      <c r="J169" s="1"/>
      <c r="K169" s="1"/>
      <c r="L169" s="1"/>
      <c r="M169" s="7"/>
      <c r="N169" s="7"/>
      <c r="O169" s="7"/>
      <c r="P169" s="1"/>
      <c r="Q169" s="1"/>
      <c r="R169" s="1"/>
      <c r="S169" s="1"/>
      <c r="T169" s="1"/>
      <c r="U169" s="1"/>
      <c r="V169" s="1"/>
      <c r="W169" s="1"/>
      <c r="X169" s="1"/>
      <c r="Y169" s="1"/>
      <c r="Z169" s="11"/>
      <c r="AA169" s="1"/>
    </row>
    <row r="170" ht="15.75" customHeight="1">
      <c r="A170" s="1"/>
      <c r="B170" s="1"/>
      <c r="C170" s="1"/>
      <c r="D170" s="1"/>
      <c r="E170" s="1"/>
      <c r="F170" s="1"/>
      <c r="G170" s="1"/>
      <c r="H170" s="1"/>
      <c r="I170" s="1"/>
      <c r="J170" s="1"/>
      <c r="K170" s="1"/>
      <c r="L170" s="1"/>
      <c r="M170" s="7"/>
      <c r="N170" s="7"/>
      <c r="O170" s="7"/>
      <c r="P170" s="1"/>
      <c r="Q170" s="1"/>
      <c r="R170" s="1"/>
      <c r="S170" s="1"/>
      <c r="T170" s="1"/>
      <c r="U170" s="1"/>
      <c r="V170" s="1"/>
      <c r="W170" s="1"/>
      <c r="X170" s="1"/>
      <c r="Y170" s="1"/>
      <c r="Z170" s="11"/>
      <c r="AA170" s="1"/>
    </row>
    <row r="171" ht="15.75" customHeight="1">
      <c r="A171" s="1"/>
      <c r="B171" s="1"/>
      <c r="C171" s="1"/>
      <c r="D171" s="1"/>
      <c r="E171" s="1"/>
      <c r="F171" s="1"/>
      <c r="G171" s="1"/>
      <c r="H171" s="1"/>
      <c r="I171" s="1"/>
      <c r="J171" s="1"/>
      <c r="K171" s="1"/>
      <c r="L171" s="1"/>
      <c r="M171" s="7"/>
      <c r="N171" s="7"/>
      <c r="O171" s="7"/>
      <c r="P171" s="1"/>
      <c r="Q171" s="1"/>
      <c r="R171" s="1"/>
      <c r="S171" s="1"/>
      <c r="T171" s="1"/>
      <c r="U171" s="1"/>
      <c r="V171" s="1"/>
      <c r="W171" s="1"/>
      <c r="X171" s="1"/>
      <c r="Y171" s="1"/>
      <c r="Z171" s="11"/>
      <c r="AA171" s="1"/>
    </row>
    <row r="172" ht="15.75" customHeight="1">
      <c r="A172" s="1"/>
      <c r="B172" s="1"/>
      <c r="C172" s="1"/>
      <c r="D172" s="1"/>
      <c r="E172" s="1"/>
      <c r="F172" s="1"/>
      <c r="G172" s="1"/>
      <c r="H172" s="1"/>
      <c r="I172" s="1"/>
      <c r="J172" s="1"/>
      <c r="K172" s="1"/>
      <c r="L172" s="1"/>
      <c r="M172" s="7"/>
      <c r="N172" s="7"/>
      <c r="O172" s="7"/>
      <c r="P172" s="1"/>
      <c r="Q172" s="1"/>
      <c r="R172" s="1"/>
      <c r="S172" s="1"/>
      <c r="T172" s="1"/>
      <c r="U172" s="1"/>
      <c r="V172" s="1"/>
      <c r="W172" s="1"/>
      <c r="X172" s="1"/>
      <c r="Y172" s="1"/>
      <c r="Z172" s="11"/>
      <c r="AA172" s="1"/>
    </row>
    <row r="173" ht="15.75" customHeight="1">
      <c r="A173" s="1"/>
      <c r="B173" s="1"/>
      <c r="C173" s="1"/>
      <c r="D173" s="1"/>
      <c r="E173" s="1"/>
      <c r="F173" s="1"/>
      <c r="G173" s="1"/>
      <c r="H173" s="1"/>
      <c r="I173" s="1"/>
      <c r="J173" s="1"/>
      <c r="K173" s="1"/>
      <c r="L173" s="1"/>
      <c r="M173" s="7"/>
      <c r="N173" s="7"/>
      <c r="O173" s="7"/>
      <c r="P173" s="1"/>
      <c r="Q173" s="1"/>
      <c r="R173" s="1"/>
      <c r="S173" s="1"/>
      <c r="T173" s="1"/>
      <c r="U173" s="1"/>
      <c r="V173" s="1"/>
      <c r="W173" s="1"/>
      <c r="X173" s="1"/>
      <c r="Y173" s="1"/>
      <c r="Z173" s="11"/>
      <c r="AA173" s="1"/>
    </row>
    <row r="174" ht="15.75" customHeight="1">
      <c r="A174" s="1"/>
      <c r="B174" s="1"/>
      <c r="C174" s="1"/>
      <c r="D174" s="1"/>
      <c r="E174" s="1"/>
      <c r="F174" s="1"/>
      <c r="G174" s="1"/>
      <c r="H174" s="1"/>
      <c r="I174" s="1"/>
      <c r="J174" s="1"/>
      <c r="K174" s="1"/>
      <c r="L174" s="1"/>
      <c r="M174" s="7"/>
      <c r="N174" s="7"/>
      <c r="O174" s="7"/>
      <c r="P174" s="1"/>
      <c r="Q174" s="1"/>
      <c r="R174" s="1"/>
      <c r="S174" s="1"/>
      <c r="T174" s="1"/>
      <c r="U174" s="1"/>
      <c r="V174" s="1"/>
      <c r="W174" s="1"/>
      <c r="X174" s="1"/>
      <c r="Y174" s="1"/>
      <c r="Z174" s="11"/>
      <c r="AA174" s="1"/>
    </row>
    <row r="175" ht="15.75" customHeight="1">
      <c r="A175" s="1"/>
      <c r="B175" s="1"/>
      <c r="C175" s="1"/>
      <c r="D175" s="1"/>
      <c r="E175" s="1"/>
      <c r="F175" s="1"/>
      <c r="G175" s="1"/>
      <c r="H175" s="1"/>
      <c r="I175" s="1"/>
      <c r="J175" s="1"/>
      <c r="K175" s="1"/>
      <c r="L175" s="1"/>
      <c r="M175" s="7"/>
      <c r="N175" s="7"/>
      <c r="O175" s="7"/>
      <c r="P175" s="1"/>
      <c r="Q175" s="1"/>
      <c r="R175" s="1"/>
      <c r="S175" s="1"/>
      <c r="T175" s="1"/>
      <c r="U175" s="1"/>
      <c r="V175" s="1"/>
      <c r="W175" s="1"/>
      <c r="X175" s="1"/>
      <c r="Y175" s="1"/>
      <c r="Z175" s="11"/>
      <c r="AA175" s="1"/>
    </row>
    <row r="176" ht="15.75" customHeight="1">
      <c r="A176" s="1"/>
      <c r="B176" s="1"/>
      <c r="C176" s="1"/>
      <c r="D176" s="1"/>
      <c r="E176" s="1"/>
      <c r="F176" s="1"/>
      <c r="G176" s="1"/>
      <c r="H176" s="1"/>
      <c r="I176" s="1"/>
      <c r="J176" s="1"/>
      <c r="K176" s="1"/>
      <c r="L176" s="1"/>
      <c r="M176" s="7"/>
      <c r="N176" s="7"/>
      <c r="O176" s="7"/>
      <c r="P176" s="1"/>
      <c r="Q176" s="1"/>
      <c r="R176" s="1"/>
      <c r="S176" s="1"/>
      <c r="T176" s="1"/>
      <c r="U176" s="1"/>
      <c r="V176" s="1"/>
      <c r="W176" s="1"/>
      <c r="X176" s="1"/>
      <c r="Y176" s="1"/>
      <c r="Z176" s="11"/>
      <c r="AA176" s="1"/>
    </row>
    <row r="177" ht="15.75" customHeight="1">
      <c r="A177" s="1"/>
      <c r="B177" s="1"/>
      <c r="C177" s="1"/>
      <c r="D177" s="1"/>
      <c r="E177" s="1"/>
      <c r="F177" s="1"/>
      <c r="G177" s="1"/>
      <c r="H177" s="1"/>
      <c r="I177" s="1"/>
      <c r="J177" s="1"/>
      <c r="K177" s="1"/>
      <c r="L177" s="1"/>
      <c r="M177" s="7"/>
      <c r="N177" s="7"/>
      <c r="O177" s="7"/>
      <c r="P177" s="1"/>
      <c r="Q177" s="1"/>
      <c r="R177" s="1"/>
      <c r="S177" s="1"/>
      <c r="T177" s="1"/>
      <c r="U177" s="1"/>
      <c r="V177" s="1"/>
      <c r="W177" s="1"/>
      <c r="X177" s="1"/>
      <c r="Y177" s="1"/>
      <c r="Z177" s="11"/>
      <c r="AA177" s="1"/>
    </row>
    <row r="178" ht="15.75" customHeight="1">
      <c r="A178" s="1"/>
      <c r="B178" s="1"/>
      <c r="C178" s="1"/>
      <c r="D178" s="1"/>
      <c r="E178" s="1"/>
      <c r="F178" s="1"/>
      <c r="G178" s="1"/>
      <c r="H178" s="1"/>
      <c r="I178" s="1"/>
      <c r="J178" s="1"/>
      <c r="K178" s="1"/>
      <c r="L178" s="1"/>
      <c r="M178" s="7"/>
      <c r="N178" s="7"/>
      <c r="O178" s="7"/>
      <c r="P178" s="1"/>
      <c r="Q178" s="1"/>
      <c r="R178" s="1"/>
      <c r="S178" s="1"/>
      <c r="T178" s="1"/>
      <c r="U178" s="1"/>
      <c r="V178" s="1"/>
      <c r="W178" s="1"/>
      <c r="X178" s="1"/>
      <c r="Y178" s="1"/>
      <c r="Z178" s="11"/>
      <c r="AA178" s="1"/>
    </row>
    <row r="179" ht="15.75" customHeight="1">
      <c r="A179" s="1"/>
      <c r="B179" s="1"/>
      <c r="C179" s="1"/>
      <c r="D179" s="1"/>
      <c r="E179" s="1"/>
      <c r="F179" s="1"/>
      <c r="G179" s="1"/>
      <c r="H179" s="1"/>
      <c r="I179" s="1"/>
      <c r="J179" s="1"/>
      <c r="K179" s="1"/>
      <c r="L179" s="1"/>
      <c r="M179" s="7"/>
      <c r="N179" s="7"/>
      <c r="O179" s="7"/>
      <c r="P179" s="1"/>
      <c r="Q179" s="1"/>
      <c r="R179" s="1"/>
      <c r="S179" s="1"/>
      <c r="T179" s="1"/>
      <c r="U179" s="1"/>
      <c r="V179" s="1"/>
      <c r="W179" s="1"/>
      <c r="X179" s="1"/>
      <c r="Y179" s="1"/>
      <c r="Z179" s="11"/>
      <c r="AA179" s="1"/>
    </row>
    <row r="180" ht="15.75" customHeight="1">
      <c r="A180" s="1"/>
      <c r="B180" s="1"/>
      <c r="C180" s="1"/>
      <c r="D180" s="1"/>
      <c r="E180" s="1"/>
      <c r="F180" s="1"/>
      <c r="G180" s="1"/>
      <c r="H180" s="1"/>
      <c r="I180" s="1"/>
      <c r="J180" s="1"/>
      <c r="K180" s="1"/>
      <c r="L180" s="1"/>
      <c r="M180" s="7"/>
      <c r="N180" s="7"/>
      <c r="O180" s="7"/>
      <c r="P180" s="1"/>
      <c r="Q180" s="1"/>
      <c r="R180" s="1"/>
      <c r="S180" s="1"/>
      <c r="T180" s="1"/>
      <c r="U180" s="1"/>
      <c r="V180" s="1"/>
      <c r="W180" s="1"/>
      <c r="X180" s="1"/>
      <c r="Y180" s="1"/>
      <c r="Z180" s="11"/>
      <c r="AA180" s="1"/>
    </row>
    <row r="181" ht="15.75" customHeight="1">
      <c r="A181" s="1"/>
      <c r="B181" s="1"/>
      <c r="C181" s="1"/>
      <c r="D181" s="1"/>
      <c r="E181" s="1"/>
      <c r="F181" s="1"/>
      <c r="G181" s="1"/>
      <c r="H181" s="1"/>
      <c r="I181" s="1"/>
      <c r="J181" s="1"/>
      <c r="K181" s="1"/>
      <c r="L181" s="1"/>
      <c r="M181" s="7"/>
      <c r="N181" s="7"/>
      <c r="O181" s="7"/>
      <c r="P181" s="1"/>
      <c r="Q181" s="1"/>
      <c r="R181" s="1"/>
      <c r="S181" s="1"/>
      <c r="T181" s="1"/>
      <c r="U181" s="1"/>
      <c r="V181" s="1"/>
      <c r="W181" s="1"/>
      <c r="X181" s="1"/>
      <c r="Y181" s="1"/>
      <c r="Z181" s="11"/>
      <c r="AA181" s="1"/>
    </row>
    <row r="182" ht="15.75" customHeight="1">
      <c r="A182" s="1"/>
      <c r="B182" s="1"/>
      <c r="C182" s="1"/>
      <c r="D182" s="1"/>
      <c r="E182" s="1"/>
      <c r="F182" s="1"/>
      <c r="G182" s="1"/>
      <c r="H182" s="1"/>
      <c r="I182" s="1"/>
      <c r="J182" s="1"/>
      <c r="K182" s="1"/>
      <c r="L182" s="1"/>
      <c r="M182" s="7"/>
      <c r="N182" s="7"/>
      <c r="O182" s="7"/>
      <c r="P182" s="1"/>
      <c r="Q182" s="1"/>
      <c r="R182" s="1"/>
      <c r="S182" s="1"/>
      <c r="T182" s="1"/>
      <c r="U182" s="1"/>
      <c r="V182" s="1"/>
      <c r="W182" s="1"/>
      <c r="X182" s="1"/>
      <c r="Y182" s="1"/>
      <c r="Z182" s="11"/>
      <c r="AA182" s="1"/>
    </row>
    <row r="183" ht="15.75" customHeight="1">
      <c r="A183" s="1"/>
      <c r="B183" s="1"/>
      <c r="C183" s="1"/>
      <c r="D183" s="1"/>
      <c r="E183" s="1"/>
      <c r="F183" s="1"/>
      <c r="G183" s="1"/>
      <c r="H183" s="1"/>
      <c r="I183" s="1"/>
      <c r="J183" s="1"/>
      <c r="K183" s="1"/>
      <c r="L183" s="1"/>
      <c r="M183" s="7"/>
      <c r="N183" s="7"/>
      <c r="O183" s="7"/>
      <c r="P183" s="1"/>
      <c r="Q183" s="1"/>
      <c r="R183" s="1"/>
      <c r="S183" s="1"/>
      <c r="T183" s="1"/>
      <c r="U183" s="1"/>
      <c r="V183" s="1"/>
      <c r="W183" s="1"/>
      <c r="X183" s="1"/>
      <c r="Y183" s="1"/>
      <c r="Z183" s="11"/>
      <c r="AA183" s="1"/>
    </row>
    <row r="184" ht="15.75" customHeight="1">
      <c r="A184" s="1"/>
      <c r="B184" s="1"/>
      <c r="C184" s="1"/>
      <c r="D184" s="1"/>
      <c r="E184" s="1"/>
      <c r="F184" s="1"/>
      <c r="G184" s="1"/>
      <c r="H184" s="1"/>
      <c r="I184" s="1"/>
      <c r="J184" s="1"/>
      <c r="K184" s="1"/>
      <c r="L184" s="1"/>
      <c r="M184" s="7"/>
      <c r="N184" s="7"/>
      <c r="O184" s="7"/>
      <c r="P184" s="1"/>
      <c r="Q184" s="1"/>
      <c r="R184" s="1"/>
      <c r="S184" s="1"/>
      <c r="T184" s="1"/>
      <c r="U184" s="1"/>
      <c r="V184" s="1"/>
      <c r="W184" s="1"/>
      <c r="X184" s="1"/>
      <c r="Y184" s="1"/>
      <c r="Z184" s="11"/>
      <c r="AA184" s="1"/>
    </row>
    <row r="185" ht="15.75" customHeight="1">
      <c r="A185" s="1"/>
      <c r="B185" s="1"/>
      <c r="C185" s="1"/>
      <c r="D185" s="1"/>
      <c r="E185" s="1"/>
      <c r="F185" s="1"/>
      <c r="G185" s="1"/>
      <c r="H185" s="1"/>
      <c r="I185" s="1"/>
      <c r="J185" s="1"/>
      <c r="K185" s="1"/>
      <c r="L185" s="1"/>
      <c r="M185" s="7"/>
      <c r="N185" s="7"/>
      <c r="O185" s="7"/>
      <c r="P185" s="1"/>
      <c r="Q185" s="1"/>
      <c r="R185" s="1"/>
      <c r="S185" s="1"/>
      <c r="T185" s="1"/>
      <c r="U185" s="1"/>
      <c r="V185" s="1"/>
      <c r="W185" s="1"/>
      <c r="X185" s="1"/>
      <c r="Y185" s="1"/>
      <c r="Z185" s="11"/>
      <c r="AA185" s="1"/>
    </row>
    <row r="186" ht="15.75" customHeight="1">
      <c r="A186" s="1"/>
      <c r="B186" s="1"/>
      <c r="C186" s="1"/>
      <c r="D186" s="1"/>
      <c r="E186" s="1"/>
      <c r="F186" s="1"/>
      <c r="G186" s="1"/>
      <c r="H186" s="1"/>
      <c r="I186" s="1"/>
      <c r="J186" s="1"/>
      <c r="K186" s="1"/>
      <c r="L186" s="1"/>
      <c r="M186" s="7"/>
      <c r="N186" s="7"/>
      <c r="O186" s="7"/>
      <c r="P186" s="1"/>
      <c r="Q186" s="1"/>
      <c r="R186" s="1"/>
      <c r="S186" s="1"/>
      <c r="T186" s="1"/>
      <c r="U186" s="1"/>
      <c r="V186" s="1"/>
      <c r="W186" s="1"/>
      <c r="X186" s="1"/>
      <c r="Y186" s="1"/>
      <c r="Z186" s="11"/>
      <c r="AA186" s="1"/>
    </row>
    <row r="187" ht="15.75" customHeight="1">
      <c r="A187" s="1"/>
      <c r="B187" s="1"/>
      <c r="C187" s="1"/>
      <c r="D187" s="1"/>
      <c r="E187" s="1"/>
      <c r="F187" s="1"/>
      <c r="G187" s="1"/>
      <c r="H187" s="1"/>
      <c r="I187" s="1"/>
      <c r="J187" s="1"/>
      <c r="K187" s="1"/>
      <c r="L187" s="1"/>
      <c r="M187" s="7"/>
      <c r="N187" s="7"/>
      <c r="O187" s="7"/>
      <c r="P187" s="1"/>
      <c r="Q187" s="1"/>
      <c r="R187" s="1"/>
      <c r="S187" s="1"/>
      <c r="T187" s="1"/>
      <c r="U187" s="1"/>
      <c r="V187" s="1"/>
      <c r="W187" s="1"/>
      <c r="X187" s="1"/>
      <c r="Y187" s="1"/>
      <c r="Z187" s="11"/>
      <c r="AA187" s="1"/>
    </row>
    <row r="188" ht="15.75" customHeight="1">
      <c r="A188" s="1"/>
      <c r="B188" s="1"/>
      <c r="C188" s="1"/>
      <c r="D188" s="1"/>
      <c r="E188" s="1"/>
      <c r="F188" s="1"/>
      <c r="G188" s="1"/>
      <c r="H188" s="1"/>
      <c r="I188" s="1"/>
      <c r="J188" s="1"/>
      <c r="K188" s="1"/>
      <c r="L188" s="1"/>
      <c r="M188" s="7"/>
      <c r="N188" s="7"/>
      <c r="O188" s="7"/>
      <c r="P188" s="1"/>
      <c r="Q188" s="1"/>
      <c r="R188" s="1"/>
      <c r="S188" s="1"/>
      <c r="T188" s="1"/>
      <c r="U188" s="1"/>
      <c r="V188" s="1"/>
      <c r="W188" s="1"/>
      <c r="X188" s="1"/>
      <c r="Y188" s="1"/>
      <c r="Z188" s="11"/>
      <c r="AA188" s="1"/>
    </row>
    <row r="189" ht="15.75" customHeight="1">
      <c r="A189" s="1"/>
      <c r="B189" s="1"/>
      <c r="C189" s="1"/>
      <c r="D189" s="1"/>
      <c r="E189" s="1"/>
      <c r="F189" s="1"/>
      <c r="G189" s="1"/>
      <c r="H189" s="1"/>
      <c r="I189" s="1"/>
      <c r="J189" s="1"/>
      <c r="K189" s="1"/>
      <c r="L189" s="1"/>
      <c r="M189" s="7"/>
      <c r="N189" s="7"/>
      <c r="O189" s="7"/>
      <c r="P189" s="1"/>
      <c r="Q189" s="1"/>
      <c r="R189" s="1"/>
      <c r="S189" s="1"/>
      <c r="T189" s="1"/>
      <c r="U189" s="1"/>
      <c r="V189" s="1"/>
      <c r="W189" s="1"/>
      <c r="X189" s="1"/>
      <c r="Y189" s="1"/>
      <c r="Z189" s="11"/>
      <c r="AA189" s="1"/>
    </row>
    <row r="190" ht="15.75" customHeight="1">
      <c r="A190" s="1"/>
      <c r="B190" s="1"/>
      <c r="C190" s="1"/>
      <c r="D190" s="1"/>
      <c r="E190" s="1"/>
      <c r="F190" s="1"/>
      <c r="G190" s="1"/>
      <c r="H190" s="1"/>
      <c r="I190" s="1"/>
      <c r="J190" s="1"/>
      <c r="K190" s="1"/>
      <c r="L190" s="1"/>
      <c r="M190" s="7"/>
      <c r="N190" s="7"/>
      <c r="O190" s="7"/>
      <c r="P190" s="1"/>
      <c r="Q190" s="1"/>
      <c r="R190" s="1"/>
      <c r="S190" s="1"/>
      <c r="T190" s="1"/>
      <c r="U190" s="1"/>
      <c r="V190" s="1"/>
      <c r="W190" s="1"/>
      <c r="X190" s="1"/>
      <c r="Y190" s="1"/>
      <c r="Z190" s="11"/>
      <c r="AA190" s="1"/>
    </row>
    <row r="191" ht="15.75" customHeight="1">
      <c r="A191" s="1"/>
      <c r="B191" s="1"/>
      <c r="C191" s="1"/>
      <c r="D191" s="1"/>
      <c r="E191" s="1"/>
      <c r="F191" s="1"/>
      <c r="G191" s="1"/>
      <c r="H191" s="1"/>
      <c r="I191" s="1"/>
      <c r="J191" s="1"/>
      <c r="K191" s="1"/>
      <c r="L191" s="1"/>
      <c r="M191" s="7"/>
      <c r="N191" s="7"/>
      <c r="O191" s="7"/>
      <c r="P191" s="1"/>
      <c r="Q191" s="1"/>
      <c r="R191" s="1"/>
      <c r="S191" s="1"/>
      <c r="T191" s="1"/>
      <c r="U191" s="1"/>
      <c r="V191" s="1"/>
      <c r="W191" s="1"/>
      <c r="X191" s="1"/>
      <c r="Y191" s="1"/>
      <c r="Z191" s="11"/>
      <c r="AA191" s="1"/>
    </row>
    <row r="192" ht="15.75" customHeight="1">
      <c r="A192" s="1"/>
      <c r="B192" s="1"/>
      <c r="C192" s="1"/>
      <c r="D192" s="1"/>
      <c r="E192" s="1"/>
      <c r="F192" s="1"/>
      <c r="G192" s="1"/>
      <c r="H192" s="1"/>
      <c r="I192" s="1"/>
      <c r="J192" s="1"/>
      <c r="K192" s="1"/>
      <c r="L192" s="1"/>
      <c r="M192" s="7"/>
      <c r="N192" s="7"/>
      <c r="O192" s="7"/>
      <c r="P192" s="1"/>
      <c r="Q192" s="1"/>
      <c r="R192" s="1"/>
      <c r="S192" s="1"/>
      <c r="T192" s="1"/>
      <c r="U192" s="1"/>
      <c r="V192" s="1"/>
      <c r="W192" s="1"/>
      <c r="X192" s="1"/>
      <c r="Y192" s="1"/>
      <c r="Z192" s="11"/>
      <c r="AA192" s="1"/>
    </row>
    <row r="193" ht="15.75" customHeight="1">
      <c r="A193" s="1"/>
      <c r="B193" s="1"/>
      <c r="C193" s="1"/>
      <c r="D193" s="1"/>
      <c r="E193" s="1"/>
      <c r="F193" s="1"/>
      <c r="G193" s="1"/>
      <c r="H193" s="1"/>
      <c r="I193" s="1"/>
      <c r="J193" s="1"/>
      <c r="K193" s="1"/>
      <c r="L193" s="1"/>
      <c r="M193" s="7"/>
      <c r="N193" s="7"/>
      <c r="O193" s="7"/>
      <c r="P193" s="1"/>
      <c r="Q193" s="1"/>
      <c r="R193" s="1"/>
      <c r="S193" s="1"/>
      <c r="T193" s="1"/>
      <c r="U193" s="1"/>
      <c r="V193" s="1"/>
      <c r="W193" s="1"/>
      <c r="X193" s="1"/>
      <c r="Y193" s="1"/>
      <c r="Z193" s="11"/>
      <c r="AA193" s="1"/>
    </row>
    <row r="194" ht="15.75" customHeight="1">
      <c r="A194" s="1"/>
      <c r="B194" s="1"/>
      <c r="C194" s="1"/>
      <c r="D194" s="1"/>
      <c r="E194" s="1"/>
      <c r="F194" s="1"/>
      <c r="G194" s="1"/>
      <c r="H194" s="1"/>
      <c r="I194" s="1"/>
      <c r="J194" s="1"/>
      <c r="K194" s="1"/>
      <c r="L194" s="1"/>
      <c r="M194" s="7"/>
      <c r="N194" s="7"/>
      <c r="O194" s="7"/>
      <c r="P194" s="1"/>
      <c r="Q194" s="1"/>
      <c r="R194" s="1"/>
      <c r="S194" s="1"/>
      <c r="T194" s="1"/>
      <c r="U194" s="1"/>
      <c r="V194" s="1"/>
      <c r="W194" s="1"/>
      <c r="X194" s="1"/>
      <c r="Y194" s="1"/>
      <c r="Z194" s="11"/>
      <c r="AA194" s="1"/>
    </row>
    <row r="195" ht="15.75" customHeight="1">
      <c r="A195" s="1"/>
      <c r="B195" s="1"/>
      <c r="C195" s="1"/>
      <c r="D195" s="1"/>
      <c r="E195" s="1"/>
      <c r="F195" s="1"/>
      <c r="G195" s="1"/>
      <c r="H195" s="1"/>
      <c r="I195" s="1"/>
      <c r="J195" s="1"/>
      <c r="K195" s="1"/>
      <c r="L195" s="1"/>
      <c r="M195" s="7"/>
      <c r="N195" s="7"/>
      <c r="O195" s="7"/>
      <c r="P195" s="1"/>
      <c r="Q195" s="1"/>
      <c r="R195" s="1"/>
      <c r="S195" s="1"/>
      <c r="T195" s="1"/>
      <c r="U195" s="1"/>
      <c r="V195" s="1"/>
      <c r="W195" s="1"/>
      <c r="X195" s="1"/>
      <c r="Y195" s="1"/>
      <c r="Z195" s="11"/>
      <c r="AA195" s="1"/>
    </row>
    <row r="196" ht="15.75" customHeight="1">
      <c r="A196" s="1"/>
      <c r="B196" s="1"/>
      <c r="C196" s="1"/>
      <c r="D196" s="1"/>
      <c r="E196" s="1"/>
      <c r="F196" s="1"/>
      <c r="G196" s="1"/>
      <c r="H196" s="1"/>
      <c r="I196" s="1"/>
      <c r="J196" s="1"/>
      <c r="K196" s="1"/>
      <c r="L196" s="1"/>
      <c r="M196" s="7"/>
      <c r="N196" s="7"/>
      <c r="O196" s="7"/>
      <c r="P196" s="1"/>
      <c r="Q196" s="1"/>
      <c r="R196" s="1"/>
      <c r="S196" s="1"/>
      <c r="T196" s="1"/>
      <c r="U196" s="1"/>
      <c r="V196" s="1"/>
      <c r="W196" s="1"/>
      <c r="X196" s="1"/>
      <c r="Y196" s="1"/>
      <c r="Z196" s="11"/>
      <c r="AA196" s="1"/>
    </row>
    <row r="197" ht="15.75" customHeight="1">
      <c r="A197" s="1"/>
      <c r="B197" s="1"/>
      <c r="C197" s="1"/>
      <c r="D197" s="1"/>
      <c r="E197" s="1"/>
      <c r="F197" s="1"/>
      <c r="G197" s="1"/>
      <c r="H197" s="1"/>
      <c r="I197" s="1"/>
      <c r="J197" s="1"/>
      <c r="K197" s="1"/>
      <c r="L197" s="1"/>
      <c r="M197" s="7"/>
      <c r="N197" s="7"/>
      <c r="O197" s="7"/>
      <c r="P197" s="1"/>
      <c r="Q197" s="1"/>
      <c r="R197" s="1"/>
      <c r="S197" s="1"/>
      <c r="T197" s="1"/>
      <c r="U197" s="1"/>
      <c r="V197" s="1"/>
      <c r="W197" s="1"/>
      <c r="X197" s="1"/>
      <c r="Y197" s="1"/>
      <c r="Z197" s="11"/>
      <c r="AA197" s="1"/>
    </row>
    <row r="198" ht="15.75" customHeight="1">
      <c r="A198" s="1"/>
      <c r="B198" s="1"/>
      <c r="C198" s="1"/>
      <c r="D198" s="1"/>
      <c r="E198" s="1"/>
      <c r="F198" s="1"/>
      <c r="G198" s="1"/>
      <c r="H198" s="1"/>
      <c r="I198" s="1"/>
      <c r="J198" s="1"/>
      <c r="K198" s="1"/>
      <c r="L198" s="1"/>
      <c r="M198" s="7"/>
      <c r="N198" s="7"/>
      <c r="O198" s="7"/>
      <c r="P198" s="1"/>
      <c r="Q198" s="1"/>
      <c r="R198" s="1"/>
      <c r="S198" s="1"/>
      <c r="T198" s="1"/>
      <c r="U198" s="1"/>
      <c r="V198" s="1"/>
      <c r="W198" s="1"/>
      <c r="X198" s="1"/>
      <c r="Y198" s="1"/>
      <c r="Z198" s="11"/>
      <c r="AA198" s="1"/>
    </row>
    <row r="199" ht="15.75" customHeight="1">
      <c r="A199" s="1"/>
      <c r="B199" s="1"/>
      <c r="C199" s="1"/>
      <c r="D199" s="1"/>
      <c r="E199" s="1"/>
      <c r="F199" s="1"/>
      <c r="G199" s="1"/>
      <c r="H199" s="1"/>
      <c r="I199" s="1"/>
      <c r="J199" s="1"/>
      <c r="K199" s="1"/>
      <c r="L199" s="1"/>
      <c r="M199" s="7"/>
      <c r="N199" s="7"/>
      <c r="O199" s="7"/>
      <c r="P199" s="1"/>
      <c r="Q199" s="1"/>
      <c r="R199" s="1"/>
      <c r="S199" s="1"/>
      <c r="T199" s="1"/>
      <c r="U199" s="1"/>
      <c r="V199" s="1"/>
      <c r="W199" s="1"/>
      <c r="X199" s="1"/>
      <c r="Y199" s="1"/>
      <c r="Z199" s="11"/>
      <c r="AA199" s="1"/>
    </row>
    <row r="200" ht="15.75" customHeight="1">
      <c r="A200" s="1"/>
      <c r="B200" s="1"/>
      <c r="C200" s="1"/>
      <c r="D200" s="1"/>
      <c r="E200" s="1"/>
      <c r="F200" s="1"/>
      <c r="G200" s="1"/>
      <c r="H200" s="1"/>
      <c r="I200" s="1"/>
      <c r="J200" s="1"/>
      <c r="K200" s="1"/>
      <c r="L200" s="1"/>
      <c r="M200" s="7"/>
      <c r="N200" s="7"/>
      <c r="O200" s="7"/>
      <c r="P200" s="1"/>
      <c r="Q200" s="1"/>
      <c r="R200" s="1"/>
      <c r="S200" s="1"/>
      <c r="T200" s="1"/>
      <c r="U200" s="1"/>
      <c r="V200" s="1"/>
      <c r="W200" s="1"/>
      <c r="X200" s="1"/>
      <c r="Y200" s="1"/>
      <c r="Z200" s="11"/>
      <c r="AA200" s="1"/>
    </row>
    <row r="201" ht="15.75" customHeight="1">
      <c r="A201" s="1"/>
      <c r="B201" s="1"/>
      <c r="C201" s="1"/>
      <c r="D201" s="1"/>
      <c r="E201" s="1"/>
      <c r="F201" s="1"/>
      <c r="G201" s="1"/>
      <c r="H201" s="1"/>
      <c r="I201" s="1"/>
      <c r="J201" s="1"/>
      <c r="K201" s="1"/>
      <c r="L201" s="1"/>
      <c r="M201" s="7"/>
      <c r="N201" s="7"/>
      <c r="O201" s="7"/>
      <c r="P201" s="1"/>
      <c r="Q201" s="1"/>
      <c r="R201" s="1"/>
      <c r="S201" s="1"/>
      <c r="T201" s="1"/>
      <c r="U201" s="1"/>
      <c r="V201" s="1"/>
      <c r="W201" s="1"/>
      <c r="X201" s="1"/>
      <c r="Y201" s="1"/>
      <c r="Z201" s="11"/>
      <c r="AA201" s="1"/>
    </row>
    <row r="202" ht="15.75" customHeight="1">
      <c r="A202" s="1"/>
      <c r="B202" s="1"/>
      <c r="C202" s="1"/>
      <c r="D202" s="1"/>
      <c r="E202" s="1"/>
      <c r="F202" s="1"/>
      <c r="G202" s="1"/>
      <c r="H202" s="1"/>
      <c r="I202" s="1"/>
      <c r="J202" s="1"/>
      <c r="K202" s="1"/>
      <c r="L202" s="1"/>
      <c r="M202" s="7"/>
      <c r="N202" s="7"/>
      <c r="O202" s="7"/>
      <c r="P202" s="1"/>
      <c r="Q202" s="1"/>
      <c r="R202" s="1"/>
      <c r="S202" s="1"/>
      <c r="T202" s="1"/>
      <c r="U202" s="1"/>
      <c r="V202" s="1"/>
      <c r="W202" s="1"/>
      <c r="X202" s="1"/>
      <c r="Y202" s="1"/>
      <c r="Z202" s="11"/>
      <c r="AA202" s="1"/>
    </row>
    <row r="203" ht="15.75" customHeight="1">
      <c r="A203" s="1"/>
      <c r="B203" s="1"/>
      <c r="C203" s="1"/>
      <c r="D203" s="1"/>
      <c r="E203" s="1"/>
      <c r="F203" s="1"/>
      <c r="G203" s="1"/>
      <c r="H203" s="1"/>
      <c r="I203" s="1"/>
      <c r="J203" s="1"/>
      <c r="K203" s="1"/>
      <c r="L203" s="1"/>
      <c r="M203" s="7"/>
      <c r="N203" s="7"/>
      <c r="O203" s="7"/>
      <c r="P203" s="1"/>
      <c r="Q203" s="1"/>
      <c r="R203" s="1"/>
      <c r="S203" s="1"/>
      <c r="T203" s="1"/>
      <c r="U203" s="1"/>
      <c r="V203" s="1"/>
      <c r="W203" s="1"/>
      <c r="X203" s="1"/>
      <c r="Y203" s="1"/>
      <c r="Z203" s="11"/>
      <c r="AA203" s="1"/>
    </row>
    <row r="204" ht="15.75" customHeight="1">
      <c r="A204" s="1"/>
      <c r="B204" s="1"/>
      <c r="C204" s="1"/>
      <c r="D204" s="1"/>
      <c r="E204" s="1"/>
      <c r="F204" s="1"/>
      <c r="G204" s="1"/>
      <c r="H204" s="1"/>
      <c r="I204" s="1"/>
      <c r="J204" s="1"/>
      <c r="K204" s="1"/>
      <c r="L204" s="1"/>
      <c r="M204" s="7"/>
      <c r="N204" s="7"/>
      <c r="O204" s="7"/>
      <c r="P204" s="1"/>
      <c r="Q204" s="1"/>
      <c r="R204" s="1"/>
      <c r="S204" s="1"/>
      <c r="T204" s="1"/>
      <c r="U204" s="1"/>
      <c r="V204" s="1"/>
      <c r="W204" s="1"/>
      <c r="X204" s="1"/>
      <c r="Y204" s="1"/>
      <c r="Z204" s="11"/>
      <c r="AA204" s="1"/>
    </row>
    <row r="205" ht="15.75" customHeight="1">
      <c r="A205" s="1"/>
      <c r="B205" s="1"/>
      <c r="C205" s="1"/>
      <c r="D205" s="1"/>
      <c r="E205" s="1"/>
      <c r="F205" s="1"/>
      <c r="G205" s="1"/>
      <c r="H205" s="1"/>
      <c r="I205" s="1"/>
      <c r="J205" s="1"/>
      <c r="K205" s="1"/>
      <c r="L205" s="1"/>
      <c r="M205" s="7"/>
      <c r="N205" s="7"/>
      <c r="O205" s="7"/>
      <c r="P205" s="1"/>
      <c r="Q205" s="1"/>
      <c r="R205" s="1"/>
      <c r="S205" s="1"/>
      <c r="T205" s="1"/>
      <c r="U205" s="1"/>
      <c r="V205" s="1"/>
      <c r="W205" s="1"/>
      <c r="X205" s="1"/>
      <c r="Y205" s="1"/>
      <c r="Z205" s="11"/>
      <c r="AA205" s="1"/>
    </row>
    <row r="206" ht="15.75" customHeight="1">
      <c r="A206" s="1"/>
      <c r="B206" s="1"/>
      <c r="C206" s="1"/>
      <c r="D206" s="1"/>
      <c r="E206" s="1"/>
      <c r="F206" s="1"/>
      <c r="G206" s="1"/>
      <c r="H206" s="1"/>
      <c r="I206" s="1"/>
      <c r="J206" s="1"/>
      <c r="K206" s="1"/>
      <c r="L206" s="1"/>
      <c r="M206" s="7"/>
      <c r="N206" s="7"/>
      <c r="O206" s="7"/>
      <c r="P206" s="1"/>
      <c r="Q206" s="1"/>
      <c r="R206" s="1"/>
      <c r="S206" s="1"/>
      <c r="T206" s="1"/>
      <c r="U206" s="1"/>
      <c r="V206" s="1"/>
      <c r="W206" s="1"/>
      <c r="X206" s="1"/>
      <c r="Y206" s="1"/>
      <c r="Z206" s="11"/>
      <c r="AA206" s="1"/>
    </row>
    <row r="207" ht="15.75" customHeight="1">
      <c r="A207" s="1"/>
      <c r="B207" s="1"/>
      <c r="C207" s="1"/>
      <c r="D207" s="1"/>
      <c r="E207" s="1"/>
      <c r="F207" s="1"/>
      <c r="G207" s="1"/>
      <c r="H207" s="1"/>
      <c r="I207" s="1"/>
      <c r="J207" s="1"/>
      <c r="K207" s="1"/>
      <c r="L207" s="1"/>
      <c r="M207" s="7"/>
      <c r="N207" s="7"/>
      <c r="O207" s="7"/>
      <c r="P207" s="1"/>
      <c r="Q207" s="1"/>
      <c r="R207" s="1"/>
      <c r="S207" s="1"/>
      <c r="T207" s="1"/>
      <c r="U207" s="1"/>
      <c r="V207" s="1"/>
      <c r="W207" s="1"/>
      <c r="X207" s="1"/>
      <c r="Y207" s="1"/>
      <c r="Z207" s="11"/>
      <c r="AA207" s="1"/>
    </row>
    <row r="208" ht="15.75" customHeight="1">
      <c r="A208" s="1"/>
      <c r="B208" s="1"/>
      <c r="C208" s="1"/>
      <c r="D208" s="1"/>
      <c r="E208" s="1"/>
      <c r="F208" s="1"/>
      <c r="G208" s="1"/>
      <c r="H208" s="1"/>
      <c r="I208" s="1"/>
      <c r="J208" s="1"/>
      <c r="K208" s="1"/>
      <c r="L208" s="1"/>
      <c r="M208" s="7"/>
      <c r="N208" s="7"/>
      <c r="O208" s="7"/>
      <c r="P208" s="1"/>
      <c r="Q208" s="1"/>
      <c r="R208" s="1"/>
      <c r="S208" s="1"/>
      <c r="T208" s="1"/>
      <c r="U208" s="1"/>
      <c r="V208" s="1"/>
      <c r="W208" s="1"/>
      <c r="X208" s="1"/>
      <c r="Y208" s="1"/>
      <c r="Z208" s="11"/>
      <c r="AA208" s="1"/>
    </row>
    <row r="209" ht="15.75" customHeight="1">
      <c r="A209" s="1"/>
      <c r="B209" s="1"/>
      <c r="C209" s="1"/>
      <c r="D209" s="1"/>
      <c r="E209" s="1"/>
      <c r="F209" s="1"/>
      <c r="G209" s="1"/>
      <c r="H209" s="1"/>
      <c r="I209" s="1"/>
      <c r="J209" s="1"/>
      <c r="K209" s="1"/>
      <c r="L209" s="1"/>
      <c r="M209" s="7"/>
      <c r="N209" s="7"/>
      <c r="O209" s="7"/>
      <c r="P209" s="1"/>
      <c r="Q209" s="1"/>
      <c r="R209" s="1"/>
      <c r="S209" s="1"/>
      <c r="T209" s="1"/>
      <c r="U209" s="1"/>
      <c r="V209" s="1"/>
      <c r="W209" s="1"/>
      <c r="X209" s="1"/>
      <c r="Y209" s="1"/>
      <c r="Z209" s="11"/>
      <c r="AA209" s="1"/>
    </row>
    <row r="210" ht="15.75" customHeight="1">
      <c r="A210" s="1"/>
      <c r="B210" s="1"/>
      <c r="C210" s="1"/>
      <c r="D210" s="1"/>
      <c r="E210" s="1"/>
      <c r="F210" s="1"/>
      <c r="G210" s="1"/>
      <c r="H210" s="1"/>
      <c r="I210" s="1"/>
      <c r="J210" s="1"/>
      <c r="K210" s="1"/>
      <c r="L210" s="1"/>
      <c r="M210" s="7"/>
      <c r="N210" s="7"/>
      <c r="O210" s="7"/>
      <c r="P210" s="1"/>
      <c r="Q210" s="1"/>
      <c r="R210" s="1"/>
      <c r="S210" s="1"/>
      <c r="T210" s="1"/>
      <c r="U210" s="1"/>
      <c r="V210" s="1"/>
      <c r="W210" s="1"/>
      <c r="X210" s="1"/>
      <c r="Y210" s="1"/>
      <c r="Z210" s="11"/>
      <c r="AA210" s="1"/>
    </row>
    <row r="211" ht="15.75" customHeight="1">
      <c r="A211" s="1"/>
      <c r="B211" s="1"/>
      <c r="C211" s="1"/>
      <c r="D211" s="1"/>
      <c r="E211" s="1"/>
      <c r="F211" s="1"/>
      <c r="G211" s="1"/>
      <c r="H211" s="1"/>
      <c r="I211" s="1"/>
      <c r="J211" s="1"/>
      <c r="K211" s="1"/>
      <c r="L211" s="1"/>
      <c r="M211" s="7"/>
      <c r="N211" s="7"/>
      <c r="O211" s="7"/>
      <c r="P211" s="1"/>
      <c r="Q211" s="1"/>
      <c r="R211" s="1"/>
      <c r="S211" s="1"/>
      <c r="T211" s="1"/>
      <c r="U211" s="1"/>
      <c r="V211" s="1"/>
      <c r="W211" s="1"/>
      <c r="X211" s="1"/>
      <c r="Y211" s="1"/>
      <c r="Z211" s="11"/>
      <c r="AA211" s="1"/>
    </row>
    <row r="212" ht="15.75" customHeight="1">
      <c r="A212" s="1"/>
      <c r="B212" s="1"/>
      <c r="C212" s="1"/>
      <c r="D212" s="1"/>
      <c r="E212" s="1"/>
      <c r="F212" s="1"/>
      <c r="G212" s="1"/>
      <c r="H212" s="1"/>
      <c r="I212" s="1"/>
      <c r="J212" s="1"/>
      <c r="K212" s="1"/>
      <c r="L212" s="1"/>
      <c r="M212" s="7"/>
      <c r="N212" s="7"/>
      <c r="O212" s="7"/>
      <c r="P212" s="1"/>
      <c r="Q212" s="1"/>
      <c r="R212" s="1"/>
      <c r="S212" s="1"/>
      <c r="T212" s="1"/>
      <c r="U212" s="1"/>
      <c r="V212" s="1"/>
      <c r="W212" s="1"/>
      <c r="X212" s="1"/>
      <c r="Y212" s="1"/>
      <c r="Z212" s="11"/>
      <c r="AA212" s="1"/>
    </row>
    <row r="213" ht="15.75" customHeight="1">
      <c r="A213" s="1"/>
      <c r="B213" s="1"/>
      <c r="C213" s="1"/>
      <c r="D213" s="1"/>
      <c r="E213" s="1"/>
      <c r="F213" s="1"/>
      <c r="G213" s="1"/>
      <c r="H213" s="1"/>
      <c r="I213" s="1"/>
      <c r="J213" s="1"/>
      <c r="K213" s="1"/>
      <c r="L213" s="1"/>
      <c r="M213" s="7"/>
      <c r="N213" s="7"/>
      <c r="O213" s="7"/>
      <c r="P213" s="1"/>
      <c r="Q213" s="1"/>
      <c r="R213" s="1"/>
      <c r="S213" s="1"/>
      <c r="T213" s="1"/>
      <c r="U213" s="1"/>
      <c r="V213" s="1"/>
      <c r="W213" s="1"/>
      <c r="X213" s="1"/>
      <c r="Y213" s="1"/>
      <c r="Z213" s="11"/>
      <c r="AA213" s="1"/>
    </row>
    <row r="214" ht="15.75" customHeight="1">
      <c r="A214" s="1"/>
      <c r="B214" s="1"/>
      <c r="C214" s="1"/>
      <c r="D214" s="1"/>
      <c r="E214" s="1"/>
      <c r="F214" s="1"/>
      <c r="G214" s="1"/>
      <c r="H214" s="1"/>
      <c r="I214" s="1"/>
      <c r="J214" s="1"/>
      <c r="K214" s="1"/>
      <c r="L214" s="1"/>
      <c r="M214" s="7"/>
      <c r="N214" s="7"/>
      <c r="O214" s="7"/>
      <c r="P214" s="1"/>
      <c r="Q214" s="1"/>
      <c r="R214" s="1"/>
      <c r="S214" s="1"/>
      <c r="T214" s="1"/>
      <c r="U214" s="1"/>
      <c r="V214" s="1"/>
      <c r="W214" s="1"/>
      <c r="X214" s="1"/>
      <c r="Y214" s="1"/>
      <c r="Z214" s="11"/>
      <c r="AA214" s="1"/>
    </row>
    <row r="215" ht="15.75" customHeight="1">
      <c r="A215" s="1"/>
      <c r="B215" s="1"/>
      <c r="C215" s="1"/>
      <c r="D215" s="1"/>
      <c r="E215" s="1"/>
      <c r="F215" s="1"/>
      <c r="G215" s="1"/>
      <c r="H215" s="1"/>
      <c r="I215" s="1"/>
      <c r="J215" s="1"/>
      <c r="K215" s="1"/>
      <c r="L215" s="1"/>
      <c r="M215" s="7"/>
      <c r="N215" s="7"/>
      <c r="O215" s="7"/>
      <c r="P215" s="1"/>
      <c r="Q215" s="1"/>
      <c r="R215" s="1"/>
      <c r="S215" s="1"/>
      <c r="T215" s="1"/>
      <c r="U215" s="1"/>
      <c r="V215" s="1"/>
      <c r="W215" s="1"/>
      <c r="X215" s="1"/>
      <c r="Y215" s="1"/>
      <c r="Z215" s="11"/>
      <c r="AA215" s="1"/>
    </row>
    <row r="216" ht="15.75" customHeight="1">
      <c r="A216" s="1"/>
      <c r="B216" s="1"/>
      <c r="C216" s="1"/>
      <c r="D216" s="1"/>
      <c r="E216" s="1"/>
      <c r="F216" s="1"/>
      <c r="G216" s="1"/>
      <c r="H216" s="1"/>
      <c r="I216" s="1"/>
      <c r="J216" s="1"/>
      <c r="K216" s="1"/>
      <c r="L216" s="1"/>
      <c r="M216" s="7"/>
      <c r="N216" s="7"/>
      <c r="O216" s="7"/>
      <c r="P216" s="1"/>
      <c r="Q216" s="1"/>
      <c r="R216" s="1"/>
      <c r="S216" s="1"/>
      <c r="T216" s="1"/>
      <c r="U216" s="1"/>
      <c r="V216" s="1"/>
      <c r="W216" s="1"/>
      <c r="X216" s="1"/>
      <c r="Y216" s="1"/>
      <c r="Z216" s="11"/>
      <c r="AA216" s="1"/>
    </row>
    <row r="217" ht="15.75" customHeight="1">
      <c r="A217" s="1"/>
      <c r="B217" s="1"/>
      <c r="C217" s="1"/>
      <c r="D217" s="1"/>
      <c r="E217" s="1"/>
      <c r="F217" s="1"/>
      <c r="G217" s="1"/>
      <c r="H217" s="1"/>
      <c r="I217" s="1"/>
      <c r="J217" s="1"/>
      <c r="K217" s="1"/>
      <c r="L217" s="1"/>
      <c r="M217" s="7"/>
      <c r="N217" s="7"/>
      <c r="O217" s="7"/>
      <c r="P217" s="1"/>
      <c r="Q217" s="1"/>
      <c r="R217" s="1"/>
      <c r="S217" s="1"/>
      <c r="T217" s="1"/>
      <c r="U217" s="1"/>
      <c r="V217" s="1"/>
      <c r="W217" s="1"/>
      <c r="X217" s="1"/>
      <c r="Y217" s="1"/>
      <c r="Z217" s="11"/>
      <c r="AA217" s="1"/>
    </row>
    <row r="218" ht="15.75" customHeight="1">
      <c r="A218" s="1"/>
      <c r="B218" s="1"/>
      <c r="C218" s="1"/>
      <c r="D218" s="1"/>
      <c r="E218" s="1"/>
      <c r="F218" s="1"/>
      <c r="G218" s="1"/>
      <c r="H218" s="1"/>
      <c r="I218" s="1"/>
      <c r="J218" s="1"/>
      <c r="K218" s="1"/>
      <c r="L218" s="1"/>
      <c r="M218" s="7"/>
      <c r="N218" s="7"/>
      <c r="O218" s="7"/>
      <c r="P218" s="1"/>
      <c r="Q218" s="1"/>
      <c r="R218" s="1"/>
      <c r="S218" s="1"/>
      <c r="T218" s="1"/>
      <c r="U218" s="1"/>
      <c r="V218" s="1"/>
      <c r="W218" s="1"/>
      <c r="X218" s="1"/>
      <c r="Y218" s="1"/>
      <c r="Z218" s="11"/>
      <c r="AA218" s="1"/>
    </row>
    <row r="219" ht="15.75" customHeight="1">
      <c r="A219" s="1"/>
      <c r="B219" s="1"/>
      <c r="C219" s="1"/>
      <c r="D219" s="1"/>
      <c r="E219" s="1"/>
      <c r="F219" s="1"/>
      <c r="G219" s="1"/>
      <c r="H219" s="1"/>
      <c r="I219" s="1"/>
      <c r="J219" s="1"/>
      <c r="K219" s="1"/>
      <c r="L219" s="1"/>
      <c r="M219" s="7"/>
      <c r="N219" s="7"/>
      <c r="O219" s="7"/>
      <c r="P219" s="1"/>
      <c r="Q219" s="1"/>
      <c r="R219" s="1"/>
      <c r="S219" s="1"/>
      <c r="T219" s="1"/>
      <c r="U219" s="1"/>
      <c r="V219" s="1"/>
      <c r="W219" s="1"/>
      <c r="X219" s="1"/>
      <c r="Y219" s="1"/>
      <c r="Z219" s="11"/>
      <c r="AA219" s="1"/>
    </row>
    <row r="220" ht="15.75" customHeight="1">
      <c r="A220" s="1"/>
      <c r="B220" s="1"/>
      <c r="C220" s="1"/>
      <c r="D220" s="1"/>
      <c r="E220" s="1"/>
      <c r="F220" s="1"/>
      <c r="G220" s="1"/>
      <c r="H220" s="1"/>
      <c r="I220" s="1"/>
      <c r="J220" s="1"/>
      <c r="K220" s="1"/>
      <c r="L220" s="1"/>
      <c r="M220" s="7"/>
      <c r="N220" s="7"/>
      <c r="O220" s="7"/>
      <c r="P220" s="1"/>
      <c r="Q220" s="1"/>
      <c r="R220" s="1"/>
      <c r="S220" s="1"/>
      <c r="T220" s="1"/>
      <c r="U220" s="1"/>
      <c r="V220" s="1"/>
      <c r="W220" s="1"/>
      <c r="X220" s="1"/>
      <c r="Y220" s="1"/>
      <c r="Z220" s="11"/>
      <c r="AA220" s="1"/>
    </row>
    <row r="221" ht="15.75" customHeight="1">
      <c r="A221" s="1"/>
      <c r="B221" s="1"/>
      <c r="C221" s="1"/>
      <c r="D221" s="1"/>
      <c r="E221" s="1"/>
      <c r="F221" s="1"/>
      <c r="G221" s="1"/>
      <c r="H221" s="1"/>
      <c r="I221" s="1"/>
      <c r="J221" s="1"/>
      <c r="K221" s="1"/>
      <c r="L221" s="1"/>
      <c r="M221" s="7"/>
      <c r="N221" s="7"/>
      <c r="O221" s="7"/>
      <c r="P221" s="1"/>
      <c r="Q221" s="1"/>
      <c r="R221" s="1"/>
      <c r="S221" s="1"/>
      <c r="T221" s="1"/>
      <c r="U221" s="1"/>
      <c r="V221" s="1"/>
      <c r="W221" s="1"/>
      <c r="X221" s="1"/>
      <c r="Y221" s="1"/>
      <c r="Z221" s="11"/>
      <c r="AA221" s="1"/>
    </row>
    <row r="222" ht="15.75" customHeight="1">
      <c r="A222" s="1"/>
      <c r="B222" s="1"/>
      <c r="C222" s="1"/>
      <c r="D222" s="1"/>
      <c r="E222" s="1"/>
      <c r="F222" s="1"/>
      <c r="G222" s="1"/>
      <c r="H222" s="1"/>
      <c r="I222" s="1"/>
      <c r="J222" s="1"/>
      <c r="K222" s="1"/>
      <c r="L222" s="1"/>
      <c r="M222" s="7"/>
      <c r="N222" s="7"/>
      <c r="O222" s="7"/>
      <c r="P222" s="1"/>
      <c r="Q222" s="1"/>
      <c r="R222" s="1"/>
      <c r="S222" s="1"/>
      <c r="T222" s="1"/>
      <c r="U222" s="1"/>
      <c r="V222" s="1"/>
      <c r="W222" s="1"/>
      <c r="X222" s="1"/>
      <c r="Y222" s="1"/>
      <c r="Z222" s="11"/>
      <c r="AA222" s="1"/>
    </row>
    <row r="223" ht="15.75" customHeight="1">
      <c r="A223" s="1"/>
      <c r="B223" s="1"/>
      <c r="C223" s="1"/>
      <c r="D223" s="1"/>
      <c r="E223" s="1"/>
      <c r="F223" s="1"/>
      <c r="G223" s="1"/>
      <c r="H223" s="1"/>
      <c r="I223" s="1"/>
      <c r="J223" s="1"/>
      <c r="K223" s="1"/>
      <c r="L223" s="1"/>
      <c r="M223" s="7"/>
      <c r="N223" s="7"/>
      <c r="O223" s="7"/>
      <c r="P223" s="1"/>
      <c r="Q223" s="1"/>
      <c r="R223" s="1"/>
      <c r="S223" s="1"/>
      <c r="T223" s="1"/>
      <c r="U223" s="1"/>
      <c r="V223" s="1"/>
      <c r="W223" s="1"/>
      <c r="X223" s="1"/>
      <c r="Y223" s="1"/>
      <c r="Z223" s="11"/>
      <c r="AA223" s="1"/>
    </row>
    <row r="224" ht="15.75" customHeight="1">
      <c r="A224" s="1"/>
      <c r="B224" s="1"/>
      <c r="C224" s="1"/>
      <c r="D224" s="1"/>
      <c r="E224" s="1"/>
      <c r="F224" s="1"/>
      <c r="G224" s="1"/>
      <c r="H224" s="1"/>
      <c r="I224" s="1"/>
      <c r="J224" s="1"/>
      <c r="K224" s="1"/>
      <c r="L224" s="1"/>
      <c r="M224" s="7"/>
      <c r="N224" s="7"/>
      <c r="O224" s="7"/>
      <c r="P224" s="1"/>
      <c r="Q224" s="1"/>
      <c r="R224" s="1"/>
      <c r="S224" s="1"/>
      <c r="T224" s="1"/>
      <c r="U224" s="1"/>
      <c r="V224" s="1"/>
      <c r="W224" s="1"/>
      <c r="X224" s="1"/>
      <c r="Y224" s="1"/>
      <c r="Z224" s="11"/>
      <c r="AA224" s="1"/>
    </row>
    <row r="225" ht="15.75" customHeight="1">
      <c r="A225" s="1"/>
      <c r="B225" s="1"/>
      <c r="C225" s="1"/>
      <c r="D225" s="1"/>
      <c r="E225" s="1"/>
      <c r="F225" s="1"/>
      <c r="G225" s="1"/>
      <c r="H225" s="1"/>
      <c r="I225" s="1"/>
      <c r="J225" s="1"/>
      <c r="K225" s="1"/>
      <c r="L225" s="1"/>
      <c r="M225" s="7"/>
      <c r="N225" s="7"/>
      <c r="O225" s="7"/>
      <c r="P225" s="1"/>
      <c r="Q225" s="1"/>
      <c r="R225" s="1"/>
      <c r="S225" s="1"/>
      <c r="T225" s="1"/>
      <c r="U225" s="1"/>
      <c r="V225" s="1"/>
      <c r="W225" s="1"/>
      <c r="X225" s="1"/>
      <c r="Y225" s="1"/>
      <c r="Z225" s="11"/>
      <c r="AA225" s="1"/>
    </row>
    <row r="226" ht="15.75" customHeight="1">
      <c r="A226" s="1"/>
      <c r="B226" s="1"/>
      <c r="C226" s="1"/>
      <c r="D226" s="1"/>
      <c r="E226" s="1"/>
      <c r="F226" s="1"/>
      <c r="G226" s="1"/>
      <c r="H226" s="1"/>
      <c r="I226" s="1"/>
      <c r="J226" s="1"/>
      <c r="K226" s="1"/>
      <c r="L226" s="1"/>
      <c r="M226" s="7"/>
      <c r="N226" s="7"/>
      <c r="O226" s="7"/>
      <c r="P226" s="1"/>
      <c r="Q226" s="1"/>
      <c r="R226" s="1"/>
      <c r="S226" s="1"/>
      <c r="T226" s="1"/>
      <c r="U226" s="1"/>
      <c r="V226" s="1"/>
      <c r="W226" s="1"/>
      <c r="X226" s="1"/>
      <c r="Y226" s="1"/>
      <c r="Z226" s="11"/>
      <c r="AA226" s="1"/>
    </row>
    <row r="227" ht="15.75" customHeight="1">
      <c r="M227" s="203"/>
      <c r="N227" s="203"/>
      <c r="O227" s="203"/>
      <c r="Z227" s="16"/>
    </row>
    <row r="228" ht="15.75" customHeight="1">
      <c r="M228" s="203"/>
      <c r="N228" s="203"/>
      <c r="O228" s="203"/>
      <c r="Z228" s="16"/>
    </row>
    <row r="229" ht="15.75" customHeight="1">
      <c r="M229" s="203"/>
      <c r="N229" s="203"/>
      <c r="O229" s="203"/>
      <c r="Z229" s="16"/>
    </row>
    <row r="230" ht="15.75" customHeight="1">
      <c r="M230" s="203"/>
      <c r="N230" s="203"/>
      <c r="O230" s="203"/>
      <c r="Z230" s="16"/>
    </row>
    <row r="231" ht="15.75" customHeight="1">
      <c r="M231" s="203"/>
      <c r="N231" s="203"/>
      <c r="O231" s="203"/>
      <c r="Z231" s="16"/>
    </row>
    <row r="232" ht="15.75" customHeight="1">
      <c r="M232" s="203"/>
      <c r="N232" s="203"/>
      <c r="O232" s="203"/>
      <c r="Z232" s="16"/>
    </row>
    <row r="233" ht="15.75" customHeight="1">
      <c r="M233" s="203"/>
      <c r="N233" s="203"/>
      <c r="O233" s="203"/>
      <c r="Z233" s="16"/>
    </row>
    <row r="234" ht="15.75" customHeight="1">
      <c r="M234" s="203"/>
      <c r="N234" s="203"/>
      <c r="O234" s="203"/>
      <c r="Z234" s="16"/>
    </row>
    <row r="235" ht="15.75" customHeight="1">
      <c r="M235" s="203"/>
      <c r="N235" s="203"/>
      <c r="O235" s="203"/>
      <c r="Z235" s="16"/>
    </row>
    <row r="236" ht="15.75" customHeight="1">
      <c r="M236" s="203"/>
      <c r="N236" s="203"/>
      <c r="O236" s="203"/>
      <c r="Z236" s="16"/>
    </row>
    <row r="237" ht="15.75" customHeight="1">
      <c r="M237" s="203"/>
      <c r="N237" s="203"/>
      <c r="O237" s="203"/>
      <c r="Z237" s="16"/>
    </row>
    <row r="238" ht="15.75" customHeight="1">
      <c r="M238" s="203"/>
      <c r="N238" s="203"/>
      <c r="O238" s="203"/>
      <c r="Z238" s="16"/>
    </row>
    <row r="239" ht="15.75" customHeight="1">
      <c r="M239" s="203"/>
      <c r="N239" s="203"/>
      <c r="O239" s="203"/>
      <c r="Z239" s="16"/>
    </row>
    <row r="240" ht="15.75" customHeight="1">
      <c r="M240" s="203"/>
      <c r="N240" s="203"/>
      <c r="O240" s="203"/>
      <c r="Z240" s="16"/>
    </row>
    <row r="241" ht="15.75" customHeight="1">
      <c r="M241" s="203"/>
      <c r="N241" s="203"/>
      <c r="O241" s="203"/>
      <c r="Z241" s="16"/>
    </row>
    <row r="242" ht="15.75" customHeight="1">
      <c r="M242" s="203"/>
      <c r="N242" s="203"/>
      <c r="O242" s="203"/>
      <c r="Z242" s="16"/>
    </row>
    <row r="243" ht="15.75" customHeight="1">
      <c r="M243" s="203"/>
      <c r="N243" s="203"/>
      <c r="O243" s="203"/>
      <c r="Z243" s="16"/>
    </row>
    <row r="244" ht="15.75" customHeight="1">
      <c r="M244" s="203"/>
      <c r="N244" s="203"/>
      <c r="O244" s="203"/>
      <c r="Z244" s="16"/>
    </row>
    <row r="245" ht="15.75" customHeight="1">
      <c r="M245" s="203"/>
      <c r="N245" s="203"/>
      <c r="O245" s="203"/>
      <c r="Z245" s="16"/>
    </row>
    <row r="246" ht="15.75" customHeight="1">
      <c r="M246" s="203"/>
      <c r="N246" s="203"/>
      <c r="O246" s="203"/>
      <c r="Z246" s="16"/>
    </row>
    <row r="247" ht="15.75" customHeight="1">
      <c r="M247" s="203"/>
      <c r="N247" s="203"/>
      <c r="O247" s="203"/>
      <c r="Z247" s="16"/>
    </row>
    <row r="248" ht="15.75" customHeight="1">
      <c r="M248" s="203"/>
      <c r="N248" s="203"/>
      <c r="O248" s="203"/>
      <c r="Z248" s="16"/>
    </row>
    <row r="249" ht="15.75" customHeight="1">
      <c r="M249" s="203"/>
      <c r="N249" s="203"/>
      <c r="O249" s="203"/>
      <c r="Z249" s="16"/>
    </row>
    <row r="250" ht="15.75" customHeight="1">
      <c r="M250" s="203"/>
      <c r="N250" s="203"/>
      <c r="O250" s="203"/>
      <c r="Z250" s="16"/>
    </row>
    <row r="251" ht="15.75" customHeight="1">
      <c r="M251" s="203"/>
      <c r="N251" s="203"/>
      <c r="O251" s="203"/>
      <c r="Z251" s="16"/>
    </row>
    <row r="252" ht="15.75" customHeight="1">
      <c r="M252" s="203"/>
      <c r="N252" s="203"/>
      <c r="O252" s="203"/>
      <c r="Z252" s="16"/>
    </row>
    <row r="253" ht="15.75" customHeight="1">
      <c r="M253" s="203"/>
      <c r="N253" s="203"/>
      <c r="O253" s="203"/>
      <c r="Z253" s="16"/>
    </row>
    <row r="254" ht="15.75" customHeight="1">
      <c r="M254" s="203"/>
      <c r="N254" s="203"/>
      <c r="O254" s="203"/>
      <c r="Z254" s="16"/>
    </row>
    <row r="255" ht="15.75" customHeight="1">
      <c r="M255" s="203"/>
      <c r="N255" s="203"/>
      <c r="O255" s="203"/>
      <c r="Z255" s="16"/>
    </row>
    <row r="256" ht="15.75" customHeight="1">
      <c r="M256" s="203"/>
      <c r="N256" s="203"/>
      <c r="O256" s="203"/>
      <c r="Z256" s="16"/>
    </row>
    <row r="257" ht="15.75" customHeight="1">
      <c r="M257" s="203"/>
      <c r="N257" s="203"/>
      <c r="O257" s="203"/>
      <c r="Z257" s="16"/>
    </row>
    <row r="258" ht="15.75" customHeight="1">
      <c r="M258" s="203"/>
      <c r="N258" s="203"/>
      <c r="O258" s="203"/>
      <c r="Z258" s="16"/>
    </row>
    <row r="259" ht="15.75" customHeight="1">
      <c r="M259" s="203"/>
      <c r="N259" s="203"/>
      <c r="O259" s="203"/>
      <c r="Z259" s="16"/>
    </row>
    <row r="260" ht="15.75" customHeight="1">
      <c r="M260" s="203"/>
      <c r="N260" s="203"/>
      <c r="O260" s="203"/>
      <c r="Z260" s="16"/>
    </row>
    <row r="261" ht="15.75" customHeight="1">
      <c r="M261" s="203"/>
      <c r="N261" s="203"/>
      <c r="O261" s="203"/>
      <c r="Z261" s="16"/>
    </row>
    <row r="262" ht="15.75" customHeight="1">
      <c r="M262" s="203"/>
      <c r="N262" s="203"/>
      <c r="O262" s="203"/>
      <c r="Z262" s="16"/>
    </row>
    <row r="263" ht="15.75" customHeight="1">
      <c r="M263" s="203"/>
      <c r="N263" s="203"/>
      <c r="O263" s="203"/>
      <c r="Z263" s="16"/>
    </row>
    <row r="264" ht="15.75" customHeight="1">
      <c r="M264" s="203"/>
      <c r="N264" s="203"/>
      <c r="O264" s="203"/>
      <c r="Z264" s="16"/>
    </row>
    <row r="265" ht="15.75" customHeight="1">
      <c r="M265" s="203"/>
      <c r="N265" s="203"/>
      <c r="O265" s="203"/>
      <c r="Z265" s="16"/>
    </row>
    <row r="266" ht="15.75" customHeight="1">
      <c r="M266" s="203"/>
      <c r="N266" s="203"/>
      <c r="O266" s="203"/>
      <c r="Z266" s="16"/>
    </row>
    <row r="267" ht="15.75" customHeight="1">
      <c r="M267" s="203"/>
      <c r="N267" s="203"/>
      <c r="O267" s="203"/>
      <c r="Z267" s="16"/>
    </row>
    <row r="268" ht="15.75" customHeight="1">
      <c r="M268" s="203"/>
      <c r="N268" s="203"/>
      <c r="O268" s="203"/>
      <c r="Z268" s="16"/>
    </row>
    <row r="269" ht="15.75" customHeight="1">
      <c r="M269" s="203"/>
      <c r="N269" s="203"/>
      <c r="O269" s="203"/>
      <c r="Z269" s="16"/>
    </row>
    <row r="270" ht="15.75" customHeight="1">
      <c r="M270" s="203"/>
      <c r="N270" s="203"/>
      <c r="O270" s="203"/>
      <c r="Z270" s="16"/>
    </row>
    <row r="271" ht="15.75" customHeight="1">
      <c r="M271" s="203"/>
      <c r="N271" s="203"/>
      <c r="O271" s="203"/>
      <c r="Z271" s="16"/>
    </row>
    <row r="272" ht="15.75" customHeight="1">
      <c r="M272" s="203"/>
      <c r="N272" s="203"/>
      <c r="O272" s="203"/>
      <c r="Z272" s="16"/>
    </row>
    <row r="273" ht="15.75" customHeight="1">
      <c r="M273" s="203"/>
      <c r="N273" s="203"/>
      <c r="O273" s="203"/>
      <c r="Z273" s="16"/>
    </row>
    <row r="274" ht="15.75" customHeight="1">
      <c r="M274" s="203"/>
      <c r="N274" s="203"/>
      <c r="O274" s="203"/>
      <c r="Z274" s="16"/>
    </row>
    <row r="275" ht="15.75" customHeight="1">
      <c r="M275" s="203"/>
      <c r="N275" s="203"/>
      <c r="O275" s="203"/>
      <c r="Z275" s="16"/>
    </row>
    <row r="276" ht="15.75" customHeight="1">
      <c r="M276" s="203"/>
      <c r="N276" s="203"/>
      <c r="O276" s="203"/>
      <c r="Z276" s="16"/>
    </row>
    <row r="277" ht="15.75" customHeight="1">
      <c r="M277" s="203"/>
      <c r="N277" s="203"/>
      <c r="O277" s="203"/>
      <c r="Z277" s="16"/>
    </row>
    <row r="278" ht="15.75" customHeight="1">
      <c r="M278" s="203"/>
      <c r="N278" s="203"/>
      <c r="O278" s="203"/>
      <c r="Z278" s="16"/>
    </row>
    <row r="279" ht="15.75" customHeight="1">
      <c r="M279" s="203"/>
      <c r="N279" s="203"/>
      <c r="O279" s="203"/>
      <c r="Z279" s="16"/>
    </row>
    <row r="280" ht="15.75" customHeight="1">
      <c r="M280" s="203"/>
      <c r="N280" s="203"/>
      <c r="O280" s="203"/>
      <c r="Z280" s="16"/>
    </row>
    <row r="281" ht="15.75" customHeight="1">
      <c r="M281" s="203"/>
      <c r="N281" s="203"/>
      <c r="O281" s="203"/>
      <c r="Z281" s="16"/>
    </row>
    <row r="282" ht="15.75" customHeight="1">
      <c r="M282" s="203"/>
      <c r="N282" s="203"/>
      <c r="O282" s="203"/>
      <c r="Z282" s="16"/>
    </row>
    <row r="283" ht="15.75" customHeight="1">
      <c r="M283" s="203"/>
      <c r="N283" s="203"/>
      <c r="O283" s="203"/>
      <c r="Z283" s="16"/>
    </row>
    <row r="284" ht="15.75" customHeight="1">
      <c r="M284" s="203"/>
      <c r="N284" s="203"/>
      <c r="O284" s="203"/>
      <c r="Z284" s="16"/>
    </row>
    <row r="285" ht="15.75" customHeight="1">
      <c r="M285" s="203"/>
      <c r="N285" s="203"/>
      <c r="O285" s="203"/>
      <c r="Z285" s="16"/>
    </row>
    <row r="286" ht="15.75" customHeight="1">
      <c r="M286" s="203"/>
      <c r="N286" s="203"/>
      <c r="O286" s="203"/>
      <c r="Z286" s="16"/>
    </row>
    <row r="287" ht="15.75" customHeight="1">
      <c r="M287" s="203"/>
      <c r="N287" s="203"/>
      <c r="O287" s="203"/>
      <c r="Z287" s="16"/>
    </row>
    <row r="288" ht="15.75" customHeight="1">
      <c r="M288" s="203"/>
      <c r="N288" s="203"/>
      <c r="O288" s="203"/>
      <c r="Z288" s="16"/>
    </row>
    <row r="289" ht="15.75" customHeight="1">
      <c r="M289" s="203"/>
      <c r="N289" s="203"/>
      <c r="O289" s="203"/>
      <c r="Z289" s="16"/>
    </row>
    <row r="290" ht="15.75" customHeight="1">
      <c r="M290" s="203"/>
      <c r="N290" s="203"/>
      <c r="O290" s="203"/>
      <c r="Z290" s="16"/>
    </row>
    <row r="291" ht="15.75" customHeight="1">
      <c r="M291" s="203"/>
      <c r="N291" s="203"/>
      <c r="O291" s="203"/>
      <c r="Z291" s="16"/>
    </row>
    <row r="292" ht="15.75" customHeight="1">
      <c r="M292" s="203"/>
      <c r="N292" s="203"/>
      <c r="O292" s="203"/>
      <c r="Z292" s="16"/>
    </row>
    <row r="293" ht="15.75" customHeight="1">
      <c r="M293" s="203"/>
      <c r="N293" s="203"/>
      <c r="O293" s="203"/>
      <c r="Z293" s="16"/>
    </row>
    <row r="294" ht="15.75" customHeight="1">
      <c r="M294" s="203"/>
      <c r="N294" s="203"/>
      <c r="O294" s="203"/>
      <c r="Z294" s="16"/>
    </row>
    <row r="295" ht="15.75" customHeight="1">
      <c r="M295" s="203"/>
      <c r="N295" s="203"/>
      <c r="O295" s="203"/>
      <c r="Z295" s="16"/>
    </row>
    <row r="296" ht="15.75" customHeight="1">
      <c r="M296" s="203"/>
      <c r="N296" s="203"/>
      <c r="O296" s="203"/>
      <c r="Z296" s="16"/>
    </row>
    <row r="297" ht="15.75" customHeight="1">
      <c r="M297" s="203"/>
      <c r="N297" s="203"/>
      <c r="O297" s="203"/>
      <c r="Z297" s="16"/>
    </row>
    <row r="298" ht="15.75" customHeight="1">
      <c r="M298" s="203"/>
      <c r="N298" s="203"/>
      <c r="O298" s="203"/>
      <c r="Z298" s="16"/>
    </row>
    <row r="299" ht="15.75" customHeight="1">
      <c r="M299" s="203"/>
      <c r="N299" s="203"/>
      <c r="O299" s="203"/>
      <c r="Z299" s="16"/>
    </row>
    <row r="300" ht="15.75" customHeight="1">
      <c r="M300" s="203"/>
      <c r="N300" s="203"/>
      <c r="O300" s="203"/>
      <c r="Z300" s="16"/>
    </row>
    <row r="301" ht="15.75" customHeight="1">
      <c r="M301" s="203"/>
      <c r="N301" s="203"/>
      <c r="O301" s="203"/>
      <c r="Z301" s="16"/>
    </row>
    <row r="302" ht="15.75" customHeight="1">
      <c r="M302" s="203"/>
      <c r="N302" s="203"/>
      <c r="O302" s="203"/>
      <c r="Z302" s="16"/>
    </row>
    <row r="303" ht="15.75" customHeight="1">
      <c r="M303" s="203"/>
      <c r="N303" s="203"/>
      <c r="O303" s="203"/>
      <c r="Z303" s="16"/>
    </row>
    <row r="304" ht="15.75" customHeight="1">
      <c r="M304" s="203"/>
      <c r="N304" s="203"/>
      <c r="O304" s="203"/>
      <c r="Z304" s="16"/>
    </row>
    <row r="305" ht="15.75" customHeight="1">
      <c r="M305" s="203"/>
      <c r="N305" s="203"/>
      <c r="O305" s="203"/>
      <c r="Z305" s="16"/>
    </row>
    <row r="306" ht="15.75" customHeight="1">
      <c r="M306" s="203"/>
      <c r="N306" s="203"/>
      <c r="O306" s="203"/>
      <c r="Z306" s="16"/>
    </row>
    <row r="307" ht="15.75" customHeight="1">
      <c r="M307" s="203"/>
      <c r="N307" s="203"/>
      <c r="O307" s="203"/>
      <c r="Z307" s="16"/>
    </row>
    <row r="308" ht="15.75" customHeight="1">
      <c r="M308" s="203"/>
      <c r="N308" s="203"/>
      <c r="O308" s="203"/>
      <c r="Z308" s="16"/>
    </row>
    <row r="309" ht="15.75" customHeight="1">
      <c r="M309" s="203"/>
      <c r="N309" s="203"/>
      <c r="O309" s="203"/>
      <c r="Z309" s="16"/>
    </row>
    <row r="310" ht="15.75" customHeight="1">
      <c r="M310" s="203"/>
      <c r="N310" s="203"/>
      <c r="O310" s="203"/>
      <c r="Z310" s="16"/>
    </row>
    <row r="311" ht="15.75" customHeight="1">
      <c r="M311" s="203"/>
      <c r="N311" s="203"/>
      <c r="O311" s="203"/>
      <c r="Z311" s="16"/>
    </row>
    <row r="312" ht="15.75" customHeight="1">
      <c r="M312" s="203"/>
      <c r="N312" s="203"/>
      <c r="O312" s="203"/>
      <c r="Z312" s="16"/>
    </row>
    <row r="313" ht="15.75" customHeight="1">
      <c r="M313" s="203"/>
      <c r="N313" s="203"/>
      <c r="O313" s="203"/>
      <c r="Z313" s="16"/>
    </row>
    <row r="314" ht="15.75" customHeight="1">
      <c r="M314" s="203"/>
      <c r="N314" s="203"/>
      <c r="O314" s="203"/>
      <c r="Z314" s="16"/>
    </row>
    <row r="315" ht="15.75" customHeight="1">
      <c r="M315" s="203"/>
      <c r="N315" s="203"/>
      <c r="O315" s="203"/>
      <c r="Z315" s="16"/>
    </row>
    <row r="316" ht="15.75" customHeight="1">
      <c r="M316" s="203"/>
      <c r="N316" s="203"/>
      <c r="O316" s="203"/>
      <c r="Z316" s="16"/>
    </row>
    <row r="317" ht="15.75" customHeight="1">
      <c r="M317" s="203"/>
      <c r="N317" s="203"/>
      <c r="O317" s="203"/>
      <c r="Z317" s="16"/>
    </row>
    <row r="318" ht="15.75" customHeight="1">
      <c r="M318" s="203"/>
      <c r="N318" s="203"/>
      <c r="O318" s="203"/>
      <c r="Z318" s="16"/>
    </row>
    <row r="319" ht="15.75" customHeight="1">
      <c r="M319" s="203"/>
      <c r="N319" s="203"/>
      <c r="O319" s="203"/>
      <c r="Z319" s="16"/>
    </row>
    <row r="320" ht="15.75" customHeight="1">
      <c r="M320" s="203"/>
      <c r="N320" s="203"/>
      <c r="O320" s="203"/>
      <c r="Z320" s="16"/>
    </row>
    <row r="321" ht="15.75" customHeight="1">
      <c r="M321" s="203"/>
      <c r="N321" s="203"/>
      <c r="O321" s="203"/>
      <c r="Z321" s="16"/>
    </row>
    <row r="322" ht="15.75" customHeight="1">
      <c r="M322" s="203"/>
      <c r="N322" s="203"/>
      <c r="O322" s="203"/>
      <c r="Z322" s="16"/>
    </row>
    <row r="323" ht="15.75" customHeight="1">
      <c r="M323" s="203"/>
      <c r="N323" s="203"/>
      <c r="O323" s="203"/>
      <c r="Z323" s="16"/>
    </row>
    <row r="324" ht="15.75" customHeight="1">
      <c r="M324" s="203"/>
      <c r="N324" s="203"/>
      <c r="O324" s="203"/>
      <c r="Z324" s="16"/>
    </row>
    <row r="325" ht="15.75" customHeight="1">
      <c r="M325" s="203"/>
      <c r="N325" s="203"/>
      <c r="O325" s="203"/>
      <c r="Z325" s="16"/>
    </row>
    <row r="326" ht="15.75" customHeight="1">
      <c r="M326" s="203"/>
      <c r="N326" s="203"/>
      <c r="O326" s="203"/>
      <c r="Z326" s="16"/>
    </row>
    <row r="327" ht="15.75" customHeight="1">
      <c r="M327" s="203"/>
      <c r="N327" s="203"/>
      <c r="O327" s="203"/>
      <c r="Z327" s="16"/>
    </row>
    <row r="328" ht="15.75" customHeight="1">
      <c r="M328" s="203"/>
      <c r="N328" s="203"/>
      <c r="O328" s="203"/>
      <c r="Z328" s="16"/>
    </row>
    <row r="329" ht="15.75" customHeight="1">
      <c r="M329" s="203"/>
      <c r="N329" s="203"/>
      <c r="O329" s="203"/>
      <c r="Z329" s="16"/>
    </row>
    <row r="330" ht="15.75" customHeight="1">
      <c r="M330" s="203"/>
      <c r="N330" s="203"/>
      <c r="O330" s="203"/>
      <c r="Z330" s="16"/>
    </row>
    <row r="331" ht="15.75" customHeight="1">
      <c r="M331" s="203"/>
      <c r="N331" s="203"/>
      <c r="O331" s="203"/>
      <c r="Z331" s="16"/>
    </row>
    <row r="332" ht="15.75" customHeight="1">
      <c r="M332" s="203"/>
      <c r="N332" s="203"/>
      <c r="O332" s="203"/>
      <c r="Z332" s="16"/>
    </row>
    <row r="333" ht="15.75" customHeight="1">
      <c r="M333" s="203"/>
      <c r="N333" s="203"/>
      <c r="O333" s="203"/>
      <c r="Z333" s="16"/>
    </row>
    <row r="334" ht="15.75" customHeight="1">
      <c r="M334" s="203"/>
      <c r="N334" s="203"/>
      <c r="O334" s="203"/>
      <c r="Z334" s="16"/>
    </row>
    <row r="335" ht="15.75" customHeight="1">
      <c r="M335" s="203"/>
      <c r="N335" s="203"/>
      <c r="O335" s="203"/>
      <c r="Z335" s="16"/>
    </row>
    <row r="336" ht="15.75" customHeight="1">
      <c r="M336" s="203"/>
      <c r="N336" s="203"/>
      <c r="O336" s="203"/>
      <c r="Z336" s="16"/>
    </row>
    <row r="337" ht="15.75" customHeight="1">
      <c r="M337" s="203"/>
      <c r="N337" s="203"/>
      <c r="O337" s="203"/>
      <c r="Z337" s="16"/>
    </row>
    <row r="338" ht="15.75" customHeight="1">
      <c r="M338" s="203"/>
      <c r="N338" s="203"/>
      <c r="O338" s="203"/>
      <c r="Z338" s="16"/>
    </row>
    <row r="339" ht="15.75" customHeight="1">
      <c r="M339" s="203"/>
      <c r="N339" s="203"/>
      <c r="O339" s="203"/>
      <c r="Z339" s="16"/>
    </row>
    <row r="340" ht="15.75" customHeight="1">
      <c r="M340" s="203"/>
      <c r="N340" s="203"/>
      <c r="O340" s="203"/>
      <c r="Z340" s="16"/>
    </row>
    <row r="341" ht="15.75" customHeight="1">
      <c r="M341" s="203"/>
      <c r="N341" s="203"/>
      <c r="O341" s="203"/>
      <c r="Z341" s="16"/>
    </row>
    <row r="342" ht="15.75" customHeight="1">
      <c r="M342" s="203"/>
      <c r="N342" s="203"/>
      <c r="O342" s="203"/>
      <c r="Z342" s="16"/>
    </row>
    <row r="343" ht="15.75" customHeight="1">
      <c r="M343" s="203"/>
      <c r="N343" s="203"/>
      <c r="O343" s="203"/>
      <c r="Z343" s="16"/>
    </row>
    <row r="344" ht="15.75" customHeight="1">
      <c r="M344" s="203"/>
      <c r="N344" s="203"/>
      <c r="O344" s="203"/>
      <c r="Z344" s="16"/>
    </row>
    <row r="345" ht="15.75" customHeight="1">
      <c r="M345" s="203"/>
      <c r="N345" s="203"/>
      <c r="O345" s="203"/>
      <c r="Z345" s="16"/>
    </row>
    <row r="346" ht="15.75" customHeight="1">
      <c r="M346" s="203"/>
      <c r="N346" s="203"/>
      <c r="O346" s="203"/>
      <c r="Z346" s="16"/>
    </row>
    <row r="347" ht="15.75" customHeight="1">
      <c r="M347" s="203"/>
      <c r="N347" s="203"/>
      <c r="O347" s="203"/>
      <c r="Z347" s="16"/>
    </row>
    <row r="348" ht="15.75" customHeight="1">
      <c r="M348" s="203"/>
      <c r="N348" s="203"/>
      <c r="O348" s="203"/>
      <c r="Z348" s="16"/>
    </row>
    <row r="349" ht="15.75" customHeight="1">
      <c r="M349" s="203"/>
      <c r="N349" s="203"/>
      <c r="O349" s="203"/>
      <c r="Z349" s="16"/>
    </row>
    <row r="350" ht="15.75" customHeight="1">
      <c r="M350" s="203"/>
      <c r="N350" s="203"/>
      <c r="O350" s="203"/>
      <c r="Z350" s="16"/>
    </row>
    <row r="351" ht="15.75" customHeight="1">
      <c r="M351" s="203"/>
      <c r="N351" s="203"/>
      <c r="O351" s="203"/>
      <c r="Z351" s="16"/>
    </row>
    <row r="352" ht="15.75" customHeight="1">
      <c r="M352" s="203"/>
      <c r="N352" s="203"/>
      <c r="O352" s="203"/>
      <c r="Z352" s="16"/>
    </row>
    <row r="353" ht="15.75" customHeight="1">
      <c r="M353" s="203"/>
      <c r="N353" s="203"/>
      <c r="O353" s="203"/>
      <c r="Z353" s="16"/>
    </row>
    <row r="354" ht="15.75" customHeight="1">
      <c r="M354" s="203"/>
      <c r="N354" s="203"/>
      <c r="O354" s="203"/>
      <c r="Z354" s="16"/>
    </row>
    <row r="355" ht="15.75" customHeight="1">
      <c r="M355" s="203"/>
      <c r="N355" s="203"/>
      <c r="O355" s="203"/>
      <c r="Z355" s="16"/>
    </row>
    <row r="356" ht="15.75" customHeight="1">
      <c r="M356" s="203"/>
      <c r="N356" s="203"/>
      <c r="O356" s="203"/>
      <c r="Z356" s="16"/>
    </row>
    <row r="357" ht="15.75" customHeight="1">
      <c r="M357" s="203"/>
      <c r="N357" s="203"/>
      <c r="O357" s="203"/>
      <c r="Z357" s="16"/>
    </row>
    <row r="358" ht="15.75" customHeight="1">
      <c r="M358" s="203"/>
      <c r="N358" s="203"/>
      <c r="O358" s="203"/>
      <c r="Z358" s="16"/>
    </row>
    <row r="359" ht="15.75" customHeight="1">
      <c r="M359" s="203"/>
      <c r="N359" s="203"/>
      <c r="O359" s="203"/>
      <c r="Z359" s="16"/>
    </row>
    <row r="360" ht="15.75" customHeight="1">
      <c r="M360" s="203"/>
      <c r="N360" s="203"/>
      <c r="O360" s="203"/>
      <c r="Z360" s="16"/>
    </row>
    <row r="361" ht="15.75" customHeight="1">
      <c r="M361" s="203"/>
      <c r="N361" s="203"/>
      <c r="O361" s="203"/>
      <c r="Z361" s="16"/>
    </row>
    <row r="362" ht="15.75" customHeight="1">
      <c r="M362" s="203"/>
      <c r="N362" s="203"/>
      <c r="O362" s="203"/>
      <c r="Z362" s="16"/>
    </row>
    <row r="363" ht="15.75" customHeight="1">
      <c r="M363" s="203"/>
      <c r="N363" s="203"/>
      <c r="O363" s="203"/>
      <c r="Z363" s="16"/>
    </row>
    <row r="364" ht="15.75" customHeight="1">
      <c r="M364" s="203"/>
      <c r="N364" s="203"/>
      <c r="O364" s="203"/>
      <c r="Z364" s="16"/>
    </row>
    <row r="365" ht="15.75" customHeight="1">
      <c r="M365" s="203"/>
      <c r="N365" s="203"/>
      <c r="O365" s="203"/>
      <c r="Z365" s="16"/>
    </row>
    <row r="366" ht="15.75" customHeight="1">
      <c r="M366" s="203"/>
      <c r="N366" s="203"/>
      <c r="O366" s="203"/>
      <c r="Z366" s="16"/>
    </row>
    <row r="367" ht="15.75" customHeight="1">
      <c r="M367" s="203"/>
      <c r="N367" s="203"/>
      <c r="O367" s="203"/>
      <c r="Z367" s="16"/>
    </row>
    <row r="368" ht="15.75" customHeight="1">
      <c r="M368" s="203"/>
      <c r="N368" s="203"/>
      <c r="O368" s="203"/>
      <c r="Z368" s="16"/>
    </row>
    <row r="369" ht="15.75" customHeight="1">
      <c r="M369" s="203"/>
      <c r="N369" s="203"/>
      <c r="O369" s="203"/>
      <c r="Z369" s="16"/>
    </row>
    <row r="370" ht="15.75" customHeight="1">
      <c r="M370" s="203"/>
      <c r="N370" s="203"/>
      <c r="O370" s="203"/>
      <c r="Z370" s="16"/>
    </row>
    <row r="371" ht="15.75" customHeight="1">
      <c r="M371" s="203"/>
      <c r="N371" s="203"/>
      <c r="O371" s="203"/>
      <c r="Z371" s="16"/>
    </row>
    <row r="372" ht="15.75" customHeight="1">
      <c r="M372" s="203"/>
      <c r="N372" s="203"/>
      <c r="O372" s="203"/>
      <c r="Z372" s="16"/>
    </row>
    <row r="373" ht="15.75" customHeight="1">
      <c r="M373" s="203"/>
      <c r="N373" s="203"/>
      <c r="O373" s="203"/>
      <c r="Z373" s="16"/>
    </row>
    <row r="374" ht="15.75" customHeight="1">
      <c r="M374" s="203"/>
      <c r="N374" s="203"/>
      <c r="O374" s="203"/>
      <c r="Z374" s="16"/>
    </row>
    <row r="375" ht="15.75" customHeight="1">
      <c r="M375" s="203"/>
      <c r="N375" s="203"/>
      <c r="O375" s="203"/>
      <c r="Z375" s="16"/>
    </row>
    <row r="376" ht="15.75" customHeight="1">
      <c r="M376" s="203"/>
      <c r="N376" s="203"/>
      <c r="O376" s="203"/>
      <c r="Z376" s="16"/>
    </row>
    <row r="377" ht="15.75" customHeight="1">
      <c r="M377" s="203"/>
      <c r="N377" s="203"/>
      <c r="O377" s="203"/>
      <c r="Z377" s="16"/>
    </row>
    <row r="378" ht="15.75" customHeight="1">
      <c r="M378" s="203"/>
      <c r="N378" s="203"/>
      <c r="O378" s="203"/>
      <c r="Z378" s="16"/>
    </row>
    <row r="379" ht="15.75" customHeight="1">
      <c r="M379" s="203"/>
      <c r="N379" s="203"/>
      <c r="O379" s="203"/>
      <c r="Z379" s="16"/>
    </row>
    <row r="380" ht="15.75" customHeight="1">
      <c r="M380" s="203"/>
      <c r="N380" s="203"/>
      <c r="O380" s="203"/>
      <c r="Z380" s="16"/>
    </row>
    <row r="381" ht="15.75" customHeight="1">
      <c r="M381" s="203"/>
      <c r="N381" s="203"/>
      <c r="O381" s="203"/>
      <c r="Z381" s="16"/>
    </row>
    <row r="382" ht="15.75" customHeight="1">
      <c r="M382" s="203"/>
      <c r="N382" s="203"/>
      <c r="O382" s="203"/>
      <c r="Z382" s="16"/>
    </row>
    <row r="383" ht="15.75" customHeight="1">
      <c r="M383" s="203"/>
      <c r="N383" s="203"/>
      <c r="O383" s="203"/>
      <c r="Z383" s="16"/>
    </row>
    <row r="384" ht="15.75" customHeight="1">
      <c r="M384" s="203"/>
      <c r="N384" s="203"/>
      <c r="O384" s="203"/>
      <c r="Z384" s="16"/>
    </row>
    <row r="385" ht="15.75" customHeight="1">
      <c r="M385" s="203"/>
      <c r="N385" s="203"/>
      <c r="O385" s="203"/>
      <c r="Z385" s="16"/>
    </row>
    <row r="386" ht="15.75" customHeight="1">
      <c r="M386" s="203"/>
      <c r="N386" s="203"/>
      <c r="O386" s="203"/>
      <c r="Z386" s="16"/>
    </row>
    <row r="387" ht="15.75" customHeight="1">
      <c r="M387" s="203"/>
      <c r="N387" s="203"/>
      <c r="O387" s="203"/>
      <c r="Z387" s="16"/>
    </row>
    <row r="388" ht="15.75" customHeight="1">
      <c r="M388" s="203"/>
      <c r="N388" s="203"/>
      <c r="O388" s="203"/>
      <c r="Z388" s="16"/>
    </row>
    <row r="389" ht="15.75" customHeight="1">
      <c r="M389" s="203"/>
      <c r="N389" s="203"/>
      <c r="O389" s="203"/>
      <c r="Z389" s="16"/>
    </row>
    <row r="390" ht="15.75" customHeight="1">
      <c r="M390" s="203"/>
      <c r="N390" s="203"/>
      <c r="O390" s="203"/>
      <c r="Z390" s="16"/>
    </row>
    <row r="391" ht="15.75" customHeight="1">
      <c r="M391" s="203"/>
      <c r="N391" s="203"/>
      <c r="O391" s="203"/>
      <c r="Z391" s="16"/>
    </row>
    <row r="392" ht="15.75" customHeight="1">
      <c r="M392" s="203"/>
      <c r="N392" s="203"/>
      <c r="O392" s="203"/>
      <c r="Z392" s="16"/>
    </row>
    <row r="393" ht="15.75" customHeight="1">
      <c r="M393" s="203"/>
      <c r="N393" s="203"/>
      <c r="O393" s="203"/>
      <c r="Z393" s="16"/>
    </row>
    <row r="394" ht="15.75" customHeight="1">
      <c r="M394" s="203"/>
      <c r="N394" s="203"/>
      <c r="O394" s="203"/>
      <c r="Z394" s="16"/>
    </row>
    <row r="395" ht="15.75" customHeight="1">
      <c r="M395" s="203"/>
      <c r="N395" s="203"/>
      <c r="O395" s="203"/>
      <c r="Z395" s="16"/>
    </row>
    <row r="396" ht="15.75" customHeight="1">
      <c r="M396" s="203"/>
      <c r="N396" s="203"/>
      <c r="O396" s="203"/>
      <c r="Z396" s="16"/>
    </row>
    <row r="397" ht="15.75" customHeight="1">
      <c r="M397" s="203"/>
      <c r="N397" s="203"/>
      <c r="O397" s="203"/>
      <c r="Z397" s="16"/>
    </row>
    <row r="398" ht="15.75" customHeight="1">
      <c r="M398" s="203"/>
      <c r="N398" s="203"/>
      <c r="O398" s="203"/>
      <c r="Z398" s="16"/>
    </row>
    <row r="399" ht="15.75" customHeight="1">
      <c r="M399" s="203"/>
      <c r="N399" s="203"/>
      <c r="O399" s="203"/>
      <c r="Z399" s="16"/>
    </row>
    <row r="400" ht="15.75" customHeight="1">
      <c r="M400" s="203"/>
      <c r="N400" s="203"/>
      <c r="O400" s="203"/>
      <c r="Z400" s="16"/>
    </row>
    <row r="401" ht="15.75" customHeight="1">
      <c r="M401" s="203"/>
      <c r="N401" s="203"/>
      <c r="O401" s="203"/>
      <c r="Z401" s="16"/>
    </row>
    <row r="402" ht="15.75" customHeight="1">
      <c r="M402" s="203"/>
      <c r="N402" s="203"/>
      <c r="O402" s="203"/>
      <c r="Z402" s="16"/>
    </row>
    <row r="403" ht="15.75" customHeight="1">
      <c r="M403" s="203"/>
      <c r="N403" s="203"/>
      <c r="O403" s="203"/>
      <c r="Z403" s="16"/>
    </row>
    <row r="404" ht="15.75" customHeight="1">
      <c r="M404" s="203"/>
      <c r="N404" s="203"/>
      <c r="O404" s="203"/>
      <c r="Z404" s="16"/>
    </row>
    <row r="405" ht="15.75" customHeight="1">
      <c r="M405" s="203"/>
      <c r="N405" s="203"/>
      <c r="O405" s="203"/>
      <c r="Z405" s="16"/>
    </row>
    <row r="406" ht="15.75" customHeight="1">
      <c r="M406" s="203"/>
      <c r="N406" s="203"/>
      <c r="O406" s="203"/>
      <c r="Z406" s="16"/>
    </row>
    <row r="407" ht="15.75" customHeight="1">
      <c r="M407" s="203"/>
      <c r="N407" s="203"/>
      <c r="O407" s="203"/>
      <c r="Z407" s="16"/>
    </row>
    <row r="408" ht="15.75" customHeight="1">
      <c r="M408" s="203"/>
      <c r="N408" s="203"/>
      <c r="O408" s="203"/>
      <c r="Z408" s="16"/>
    </row>
    <row r="409" ht="15.75" customHeight="1">
      <c r="M409" s="203"/>
      <c r="N409" s="203"/>
      <c r="O409" s="203"/>
      <c r="Z409" s="16"/>
    </row>
    <row r="410" ht="15.75" customHeight="1">
      <c r="M410" s="203"/>
      <c r="N410" s="203"/>
      <c r="O410" s="203"/>
      <c r="Z410" s="16"/>
    </row>
    <row r="411" ht="15.75" customHeight="1">
      <c r="M411" s="203"/>
      <c r="N411" s="203"/>
      <c r="O411" s="203"/>
      <c r="Z411" s="16"/>
    </row>
    <row r="412" ht="15.75" customHeight="1">
      <c r="M412" s="203"/>
      <c r="N412" s="203"/>
      <c r="O412" s="203"/>
      <c r="Z412" s="16"/>
    </row>
    <row r="413" ht="15.75" customHeight="1">
      <c r="M413" s="203"/>
      <c r="N413" s="203"/>
      <c r="O413" s="203"/>
      <c r="Z413" s="16"/>
    </row>
    <row r="414" ht="15.75" customHeight="1">
      <c r="M414" s="203"/>
      <c r="N414" s="203"/>
      <c r="O414" s="203"/>
      <c r="Z414" s="16"/>
    </row>
    <row r="415" ht="15.75" customHeight="1">
      <c r="M415" s="203"/>
      <c r="N415" s="203"/>
      <c r="O415" s="203"/>
      <c r="Z415" s="16"/>
    </row>
    <row r="416" ht="15.75" customHeight="1">
      <c r="M416" s="203"/>
      <c r="N416" s="203"/>
      <c r="O416" s="203"/>
      <c r="Z416" s="16"/>
    </row>
    <row r="417" ht="15.75" customHeight="1">
      <c r="M417" s="203"/>
      <c r="N417" s="203"/>
      <c r="O417" s="203"/>
      <c r="Z417" s="16"/>
    </row>
    <row r="418" ht="15.75" customHeight="1">
      <c r="M418" s="203"/>
      <c r="N418" s="203"/>
      <c r="O418" s="203"/>
      <c r="Z418" s="16"/>
    </row>
    <row r="419" ht="15.75" customHeight="1">
      <c r="M419" s="203"/>
      <c r="N419" s="203"/>
      <c r="O419" s="203"/>
      <c r="Z419" s="16"/>
    </row>
    <row r="420" ht="15.75" customHeight="1">
      <c r="M420" s="203"/>
      <c r="N420" s="203"/>
      <c r="O420" s="203"/>
      <c r="Z420" s="16"/>
    </row>
    <row r="421" ht="15.75" customHeight="1">
      <c r="M421" s="203"/>
      <c r="N421" s="203"/>
      <c r="O421" s="203"/>
      <c r="Z421" s="16"/>
    </row>
    <row r="422" ht="15.75" customHeight="1">
      <c r="M422" s="203"/>
      <c r="N422" s="203"/>
      <c r="O422" s="203"/>
      <c r="Z422" s="16"/>
    </row>
    <row r="423" ht="15.75" customHeight="1">
      <c r="M423" s="203"/>
      <c r="N423" s="203"/>
      <c r="O423" s="203"/>
      <c r="Z423" s="16"/>
    </row>
    <row r="424" ht="15.75" customHeight="1">
      <c r="M424" s="203"/>
      <c r="N424" s="203"/>
      <c r="O424" s="203"/>
      <c r="Z424" s="16"/>
    </row>
    <row r="425" ht="15.75" customHeight="1">
      <c r="M425" s="203"/>
      <c r="N425" s="203"/>
      <c r="O425" s="203"/>
      <c r="Z425" s="16"/>
    </row>
    <row r="426" ht="15.75" customHeight="1">
      <c r="M426" s="203"/>
      <c r="N426" s="203"/>
      <c r="O426" s="203"/>
      <c r="Z426" s="16"/>
    </row>
    <row r="427" ht="15.75" customHeight="1">
      <c r="M427" s="203"/>
      <c r="N427" s="203"/>
      <c r="O427" s="203"/>
      <c r="Z427" s="16"/>
    </row>
    <row r="428" ht="15.75" customHeight="1">
      <c r="M428" s="203"/>
      <c r="N428" s="203"/>
      <c r="O428" s="203"/>
      <c r="Z428" s="16"/>
    </row>
    <row r="429" ht="15.75" customHeight="1">
      <c r="M429" s="203"/>
      <c r="N429" s="203"/>
      <c r="O429" s="203"/>
      <c r="Z429" s="16"/>
    </row>
    <row r="430" ht="15.75" customHeight="1">
      <c r="M430" s="203"/>
      <c r="N430" s="203"/>
      <c r="O430" s="203"/>
      <c r="Z430" s="16"/>
    </row>
    <row r="431" ht="15.75" customHeight="1">
      <c r="M431" s="203"/>
      <c r="N431" s="203"/>
      <c r="O431" s="203"/>
      <c r="Z431" s="16"/>
    </row>
    <row r="432" ht="15.75" customHeight="1">
      <c r="M432" s="203"/>
      <c r="N432" s="203"/>
      <c r="O432" s="203"/>
      <c r="Z432" s="16"/>
    </row>
    <row r="433" ht="15.75" customHeight="1">
      <c r="M433" s="203"/>
      <c r="N433" s="203"/>
      <c r="O433" s="203"/>
      <c r="Z433" s="16"/>
    </row>
    <row r="434" ht="15.75" customHeight="1">
      <c r="M434" s="203"/>
      <c r="N434" s="203"/>
      <c r="O434" s="203"/>
      <c r="Z434" s="16"/>
    </row>
    <row r="435" ht="15.75" customHeight="1">
      <c r="M435" s="203"/>
      <c r="N435" s="203"/>
      <c r="O435" s="203"/>
      <c r="Z435" s="16"/>
    </row>
    <row r="436" ht="15.75" customHeight="1">
      <c r="M436" s="203"/>
      <c r="N436" s="203"/>
      <c r="O436" s="203"/>
      <c r="Z436" s="16"/>
    </row>
    <row r="437" ht="15.75" customHeight="1">
      <c r="M437" s="203"/>
      <c r="N437" s="203"/>
      <c r="O437" s="203"/>
      <c r="Z437" s="16"/>
    </row>
    <row r="438" ht="15.75" customHeight="1">
      <c r="M438" s="203"/>
      <c r="N438" s="203"/>
      <c r="O438" s="203"/>
      <c r="Z438" s="16"/>
    </row>
    <row r="439" ht="15.75" customHeight="1">
      <c r="M439" s="203"/>
      <c r="N439" s="203"/>
      <c r="O439" s="203"/>
      <c r="Z439" s="16"/>
    </row>
    <row r="440" ht="15.75" customHeight="1">
      <c r="M440" s="203"/>
      <c r="N440" s="203"/>
      <c r="O440" s="203"/>
      <c r="Z440" s="16"/>
    </row>
    <row r="441" ht="15.75" customHeight="1">
      <c r="M441" s="203"/>
      <c r="N441" s="203"/>
      <c r="O441" s="203"/>
      <c r="Z441" s="16"/>
    </row>
    <row r="442" ht="15.75" customHeight="1">
      <c r="M442" s="203"/>
      <c r="N442" s="203"/>
      <c r="O442" s="203"/>
      <c r="Z442" s="16"/>
    </row>
    <row r="443" ht="15.75" customHeight="1">
      <c r="M443" s="203"/>
      <c r="N443" s="203"/>
      <c r="O443" s="203"/>
      <c r="Z443" s="16"/>
    </row>
    <row r="444" ht="15.75" customHeight="1">
      <c r="M444" s="203"/>
      <c r="N444" s="203"/>
      <c r="O444" s="203"/>
      <c r="Z444" s="16"/>
    </row>
    <row r="445" ht="15.75" customHeight="1">
      <c r="M445" s="203"/>
      <c r="N445" s="203"/>
      <c r="O445" s="203"/>
      <c r="Z445" s="16"/>
    </row>
    <row r="446" ht="15.75" customHeight="1">
      <c r="M446" s="203"/>
      <c r="N446" s="203"/>
      <c r="O446" s="203"/>
      <c r="Z446" s="16"/>
    </row>
    <row r="447" ht="15.75" customHeight="1">
      <c r="M447" s="203"/>
      <c r="N447" s="203"/>
      <c r="O447" s="203"/>
      <c r="Z447" s="16"/>
    </row>
    <row r="448" ht="15.75" customHeight="1">
      <c r="M448" s="203"/>
      <c r="N448" s="203"/>
      <c r="O448" s="203"/>
      <c r="Z448" s="16"/>
    </row>
    <row r="449" ht="15.75" customHeight="1">
      <c r="M449" s="203"/>
      <c r="N449" s="203"/>
      <c r="O449" s="203"/>
      <c r="Z449" s="16"/>
    </row>
    <row r="450" ht="15.75" customHeight="1">
      <c r="M450" s="203"/>
      <c r="N450" s="203"/>
      <c r="O450" s="203"/>
      <c r="Z450" s="16"/>
    </row>
    <row r="451" ht="15.75" customHeight="1">
      <c r="M451" s="203"/>
      <c r="N451" s="203"/>
      <c r="O451" s="203"/>
      <c r="Z451" s="16"/>
    </row>
    <row r="452" ht="15.75" customHeight="1">
      <c r="M452" s="203"/>
      <c r="N452" s="203"/>
      <c r="O452" s="203"/>
      <c r="Z452" s="16"/>
    </row>
    <row r="453" ht="15.75" customHeight="1">
      <c r="M453" s="203"/>
      <c r="N453" s="203"/>
      <c r="O453" s="203"/>
      <c r="Z453" s="16"/>
    </row>
    <row r="454" ht="15.75" customHeight="1">
      <c r="M454" s="203"/>
      <c r="N454" s="203"/>
      <c r="O454" s="203"/>
      <c r="Z454" s="16"/>
    </row>
    <row r="455" ht="15.75" customHeight="1">
      <c r="M455" s="203"/>
      <c r="N455" s="203"/>
      <c r="O455" s="203"/>
      <c r="Z455" s="16"/>
    </row>
    <row r="456" ht="15.75" customHeight="1">
      <c r="M456" s="203"/>
      <c r="N456" s="203"/>
      <c r="O456" s="203"/>
      <c r="Z456" s="16"/>
    </row>
    <row r="457" ht="15.75" customHeight="1">
      <c r="M457" s="203"/>
      <c r="N457" s="203"/>
      <c r="O457" s="203"/>
      <c r="Z457" s="16"/>
    </row>
    <row r="458" ht="15.75" customHeight="1">
      <c r="M458" s="203"/>
      <c r="N458" s="203"/>
      <c r="O458" s="203"/>
      <c r="Z458" s="16"/>
    </row>
    <row r="459" ht="15.75" customHeight="1">
      <c r="M459" s="203"/>
      <c r="N459" s="203"/>
      <c r="O459" s="203"/>
      <c r="Z459" s="16"/>
    </row>
    <row r="460" ht="15.75" customHeight="1">
      <c r="M460" s="203"/>
      <c r="N460" s="203"/>
      <c r="O460" s="203"/>
      <c r="Z460" s="16"/>
    </row>
    <row r="461" ht="15.75" customHeight="1">
      <c r="M461" s="203"/>
      <c r="N461" s="203"/>
      <c r="O461" s="203"/>
      <c r="Z461" s="16"/>
    </row>
    <row r="462" ht="15.75" customHeight="1">
      <c r="M462" s="203"/>
      <c r="N462" s="203"/>
      <c r="O462" s="203"/>
      <c r="Z462" s="16"/>
    </row>
    <row r="463" ht="15.75" customHeight="1">
      <c r="M463" s="203"/>
      <c r="N463" s="203"/>
      <c r="O463" s="203"/>
      <c r="Z463" s="16"/>
    </row>
    <row r="464" ht="15.75" customHeight="1">
      <c r="M464" s="203"/>
      <c r="N464" s="203"/>
      <c r="O464" s="203"/>
      <c r="Z464" s="16"/>
    </row>
    <row r="465" ht="15.75" customHeight="1">
      <c r="M465" s="203"/>
      <c r="N465" s="203"/>
      <c r="O465" s="203"/>
      <c r="Z465" s="16"/>
    </row>
    <row r="466" ht="15.75" customHeight="1">
      <c r="M466" s="203"/>
      <c r="N466" s="203"/>
      <c r="O466" s="203"/>
      <c r="Z466" s="16"/>
    </row>
    <row r="467" ht="15.75" customHeight="1">
      <c r="M467" s="203"/>
      <c r="N467" s="203"/>
      <c r="O467" s="203"/>
      <c r="Z467" s="16"/>
    </row>
    <row r="468" ht="15.75" customHeight="1">
      <c r="M468" s="203"/>
      <c r="N468" s="203"/>
      <c r="O468" s="203"/>
      <c r="Z468" s="16"/>
    </row>
    <row r="469" ht="15.75" customHeight="1">
      <c r="M469" s="203"/>
      <c r="N469" s="203"/>
      <c r="O469" s="203"/>
      <c r="Z469" s="16"/>
    </row>
    <row r="470" ht="15.75" customHeight="1">
      <c r="M470" s="203"/>
      <c r="N470" s="203"/>
      <c r="O470" s="203"/>
      <c r="Z470" s="16"/>
    </row>
    <row r="471" ht="15.75" customHeight="1">
      <c r="M471" s="203"/>
      <c r="N471" s="203"/>
      <c r="O471" s="203"/>
      <c r="Z471" s="16"/>
    </row>
    <row r="472" ht="15.75" customHeight="1">
      <c r="M472" s="203"/>
      <c r="N472" s="203"/>
      <c r="O472" s="203"/>
      <c r="Z472" s="16"/>
    </row>
    <row r="473" ht="15.75" customHeight="1">
      <c r="M473" s="203"/>
      <c r="N473" s="203"/>
      <c r="O473" s="203"/>
      <c r="Z473" s="16"/>
    </row>
    <row r="474" ht="15.75" customHeight="1">
      <c r="M474" s="203"/>
      <c r="N474" s="203"/>
      <c r="O474" s="203"/>
      <c r="Z474" s="16"/>
    </row>
    <row r="475" ht="15.75" customHeight="1">
      <c r="M475" s="203"/>
      <c r="N475" s="203"/>
      <c r="O475" s="203"/>
      <c r="Z475" s="16"/>
    </row>
    <row r="476" ht="15.75" customHeight="1">
      <c r="M476" s="203"/>
      <c r="N476" s="203"/>
      <c r="O476" s="203"/>
      <c r="Z476" s="16"/>
    </row>
    <row r="477" ht="15.75" customHeight="1">
      <c r="M477" s="203"/>
      <c r="N477" s="203"/>
      <c r="O477" s="203"/>
      <c r="Z477" s="16"/>
    </row>
    <row r="478" ht="15.75" customHeight="1">
      <c r="M478" s="203"/>
      <c r="N478" s="203"/>
      <c r="O478" s="203"/>
      <c r="Z478" s="16"/>
    </row>
    <row r="479" ht="15.75" customHeight="1">
      <c r="M479" s="203"/>
      <c r="N479" s="203"/>
      <c r="O479" s="203"/>
      <c r="Z479" s="16"/>
    </row>
    <row r="480" ht="15.75" customHeight="1">
      <c r="M480" s="203"/>
      <c r="N480" s="203"/>
      <c r="O480" s="203"/>
      <c r="Z480" s="16"/>
    </row>
    <row r="481" ht="15.75" customHeight="1">
      <c r="M481" s="203"/>
      <c r="N481" s="203"/>
      <c r="O481" s="203"/>
      <c r="Z481" s="16"/>
    </row>
    <row r="482" ht="15.75" customHeight="1">
      <c r="M482" s="203"/>
      <c r="N482" s="203"/>
      <c r="O482" s="203"/>
      <c r="Z482" s="16"/>
    </row>
    <row r="483" ht="15.75" customHeight="1">
      <c r="M483" s="203"/>
      <c r="N483" s="203"/>
      <c r="O483" s="203"/>
      <c r="Z483" s="16"/>
    </row>
    <row r="484" ht="15.75" customHeight="1">
      <c r="M484" s="203"/>
      <c r="N484" s="203"/>
      <c r="O484" s="203"/>
      <c r="Z484" s="16"/>
    </row>
    <row r="485" ht="15.75" customHeight="1">
      <c r="M485" s="203"/>
      <c r="N485" s="203"/>
      <c r="O485" s="203"/>
      <c r="Z485" s="16"/>
    </row>
    <row r="486" ht="15.75" customHeight="1">
      <c r="M486" s="203"/>
      <c r="N486" s="203"/>
      <c r="O486" s="203"/>
      <c r="Z486" s="16"/>
    </row>
    <row r="487" ht="15.75" customHeight="1">
      <c r="M487" s="203"/>
      <c r="N487" s="203"/>
      <c r="O487" s="203"/>
      <c r="Z487" s="16"/>
    </row>
    <row r="488" ht="15.75" customHeight="1">
      <c r="M488" s="203"/>
      <c r="N488" s="203"/>
      <c r="O488" s="203"/>
      <c r="Z488" s="16"/>
    </row>
    <row r="489" ht="15.75" customHeight="1">
      <c r="M489" s="203"/>
      <c r="N489" s="203"/>
      <c r="O489" s="203"/>
      <c r="Z489" s="16"/>
    </row>
    <row r="490" ht="15.75" customHeight="1">
      <c r="M490" s="203"/>
      <c r="N490" s="203"/>
      <c r="O490" s="203"/>
      <c r="Z490" s="16"/>
    </row>
    <row r="491" ht="15.75" customHeight="1">
      <c r="M491" s="203"/>
      <c r="N491" s="203"/>
      <c r="O491" s="203"/>
      <c r="Z491" s="16"/>
    </row>
    <row r="492" ht="15.75" customHeight="1">
      <c r="M492" s="203"/>
      <c r="N492" s="203"/>
      <c r="O492" s="203"/>
      <c r="Z492" s="16"/>
    </row>
    <row r="493" ht="15.75" customHeight="1">
      <c r="M493" s="203"/>
      <c r="N493" s="203"/>
      <c r="O493" s="203"/>
      <c r="Z493" s="16"/>
    </row>
    <row r="494" ht="15.75" customHeight="1">
      <c r="M494" s="203"/>
      <c r="N494" s="203"/>
      <c r="O494" s="203"/>
      <c r="Z494" s="16"/>
    </row>
    <row r="495" ht="15.75" customHeight="1">
      <c r="M495" s="203"/>
      <c r="N495" s="203"/>
      <c r="O495" s="203"/>
      <c r="Z495" s="16"/>
    </row>
    <row r="496" ht="15.75" customHeight="1">
      <c r="M496" s="203"/>
      <c r="N496" s="203"/>
      <c r="O496" s="203"/>
      <c r="Z496" s="16"/>
    </row>
    <row r="497" ht="15.75" customHeight="1">
      <c r="M497" s="203"/>
      <c r="N497" s="203"/>
      <c r="O497" s="203"/>
      <c r="Z497" s="16"/>
    </row>
    <row r="498" ht="15.75" customHeight="1">
      <c r="M498" s="203"/>
      <c r="N498" s="203"/>
      <c r="O498" s="203"/>
      <c r="Z498" s="16"/>
    </row>
    <row r="499" ht="15.75" customHeight="1">
      <c r="M499" s="203"/>
      <c r="N499" s="203"/>
      <c r="O499" s="203"/>
      <c r="Z499" s="16"/>
    </row>
    <row r="500" ht="15.75" customHeight="1">
      <c r="M500" s="203"/>
      <c r="N500" s="203"/>
      <c r="O500" s="203"/>
      <c r="Z500" s="16"/>
    </row>
    <row r="501" ht="15.75" customHeight="1">
      <c r="M501" s="203"/>
      <c r="N501" s="203"/>
      <c r="O501" s="203"/>
      <c r="Z501" s="16"/>
    </row>
    <row r="502" ht="15.75" customHeight="1">
      <c r="M502" s="203"/>
      <c r="N502" s="203"/>
      <c r="O502" s="203"/>
      <c r="Z502" s="16"/>
    </row>
    <row r="503" ht="15.75" customHeight="1">
      <c r="M503" s="203"/>
      <c r="N503" s="203"/>
      <c r="O503" s="203"/>
      <c r="Z503" s="16"/>
    </row>
    <row r="504" ht="15.75" customHeight="1">
      <c r="M504" s="203"/>
      <c r="N504" s="203"/>
      <c r="O504" s="203"/>
      <c r="Z504" s="16"/>
    </row>
    <row r="505" ht="15.75" customHeight="1">
      <c r="M505" s="203"/>
      <c r="N505" s="203"/>
      <c r="O505" s="203"/>
      <c r="Z505" s="16"/>
    </row>
    <row r="506" ht="15.75" customHeight="1">
      <c r="M506" s="203"/>
      <c r="N506" s="203"/>
      <c r="O506" s="203"/>
      <c r="Z506" s="16"/>
    </row>
    <row r="507" ht="15.75" customHeight="1">
      <c r="M507" s="203"/>
      <c r="N507" s="203"/>
      <c r="O507" s="203"/>
      <c r="Z507" s="16"/>
    </row>
    <row r="508" ht="15.75" customHeight="1">
      <c r="M508" s="203"/>
      <c r="N508" s="203"/>
      <c r="O508" s="203"/>
      <c r="Z508" s="16"/>
    </row>
    <row r="509" ht="15.75" customHeight="1">
      <c r="M509" s="203"/>
      <c r="N509" s="203"/>
      <c r="O509" s="203"/>
      <c r="Z509" s="16"/>
    </row>
    <row r="510" ht="15.75" customHeight="1">
      <c r="M510" s="203"/>
      <c r="N510" s="203"/>
      <c r="O510" s="203"/>
      <c r="Z510" s="16"/>
    </row>
    <row r="511" ht="15.75" customHeight="1">
      <c r="M511" s="203"/>
      <c r="N511" s="203"/>
      <c r="O511" s="203"/>
      <c r="Z511" s="16"/>
    </row>
    <row r="512" ht="15.75" customHeight="1">
      <c r="M512" s="203"/>
      <c r="N512" s="203"/>
      <c r="O512" s="203"/>
      <c r="Z512" s="16"/>
    </row>
    <row r="513" ht="15.75" customHeight="1">
      <c r="M513" s="203"/>
      <c r="N513" s="203"/>
      <c r="O513" s="203"/>
      <c r="Z513" s="16"/>
    </row>
    <row r="514" ht="15.75" customHeight="1">
      <c r="M514" s="203"/>
      <c r="N514" s="203"/>
      <c r="O514" s="203"/>
      <c r="Z514" s="16"/>
    </row>
    <row r="515" ht="15.75" customHeight="1">
      <c r="M515" s="203"/>
      <c r="N515" s="203"/>
      <c r="O515" s="203"/>
      <c r="Z515" s="16"/>
    </row>
    <row r="516" ht="15.75" customHeight="1">
      <c r="M516" s="203"/>
      <c r="N516" s="203"/>
      <c r="O516" s="203"/>
      <c r="Z516" s="16"/>
    </row>
    <row r="517" ht="15.75" customHeight="1">
      <c r="M517" s="203"/>
      <c r="N517" s="203"/>
      <c r="O517" s="203"/>
      <c r="Z517" s="16"/>
    </row>
    <row r="518" ht="15.75" customHeight="1">
      <c r="M518" s="203"/>
      <c r="N518" s="203"/>
      <c r="O518" s="203"/>
      <c r="Z518" s="16"/>
    </row>
    <row r="519" ht="15.75" customHeight="1">
      <c r="M519" s="203"/>
      <c r="N519" s="203"/>
      <c r="O519" s="203"/>
      <c r="Z519" s="16"/>
    </row>
    <row r="520" ht="15.75" customHeight="1">
      <c r="M520" s="203"/>
      <c r="N520" s="203"/>
      <c r="O520" s="203"/>
      <c r="Z520" s="16"/>
    </row>
    <row r="521" ht="15.75" customHeight="1">
      <c r="M521" s="203"/>
      <c r="N521" s="203"/>
      <c r="O521" s="203"/>
      <c r="Z521" s="16"/>
    </row>
    <row r="522" ht="15.75" customHeight="1">
      <c r="M522" s="203"/>
      <c r="N522" s="203"/>
      <c r="O522" s="203"/>
      <c r="Z522" s="16"/>
    </row>
    <row r="523" ht="15.75" customHeight="1">
      <c r="M523" s="203"/>
      <c r="N523" s="203"/>
      <c r="O523" s="203"/>
      <c r="Z523" s="16"/>
    </row>
    <row r="524" ht="15.75" customHeight="1">
      <c r="M524" s="203"/>
      <c r="N524" s="203"/>
      <c r="O524" s="203"/>
      <c r="Z524" s="16"/>
    </row>
    <row r="525" ht="15.75" customHeight="1">
      <c r="M525" s="203"/>
      <c r="N525" s="203"/>
      <c r="O525" s="203"/>
      <c r="Z525" s="16"/>
    </row>
    <row r="526" ht="15.75" customHeight="1">
      <c r="M526" s="203"/>
      <c r="N526" s="203"/>
      <c r="O526" s="203"/>
      <c r="Z526" s="16"/>
    </row>
    <row r="527" ht="15.75" customHeight="1">
      <c r="M527" s="203"/>
      <c r="N527" s="203"/>
      <c r="O527" s="203"/>
      <c r="Z527" s="16"/>
    </row>
    <row r="528" ht="15.75" customHeight="1">
      <c r="M528" s="203"/>
      <c r="N528" s="203"/>
      <c r="O528" s="203"/>
      <c r="Z528" s="16"/>
    </row>
    <row r="529" ht="15.75" customHeight="1">
      <c r="M529" s="203"/>
      <c r="N529" s="203"/>
      <c r="O529" s="203"/>
      <c r="Z529" s="16"/>
    </row>
    <row r="530" ht="15.75" customHeight="1">
      <c r="M530" s="203"/>
      <c r="N530" s="203"/>
      <c r="O530" s="203"/>
      <c r="Z530" s="16"/>
    </row>
    <row r="531" ht="15.75" customHeight="1">
      <c r="M531" s="203"/>
      <c r="N531" s="203"/>
      <c r="O531" s="203"/>
      <c r="Z531" s="16"/>
    </row>
    <row r="532" ht="15.75" customHeight="1">
      <c r="M532" s="203"/>
      <c r="N532" s="203"/>
      <c r="O532" s="203"/>
      <c r="Z532" s="16"/>
    </row>
    <row r="533" ht="15.75" customHeight="1">
      <c r="M533" s="203"/>
      <c r="N533" s="203"/>
      <c r="O533" s="203"/>
      <c r="Z533" s="16"/>
    </row>
    <row r="534" ht="15.75" customHeight="1">
      <c r="M534" s="203"/>
      <c r="N534" s="203"/>
      <c r="O534" s="203"/>
      <c r="Z534" s="16"/>
    </row>
    <row r="535" ht="15.75" customHeight="1">
      <c r="M535" s="203"/>
      <c r="N535" s="203"/>
      <c r="O535" s="203"/>
      <c r="Z535" s="16"/>
    </row>
    <row r="536" ht="15.75" customHeight="1">
      <c r="M536" s="203"/>
      <c r="N536" s="203"/>
      <c r="O536" s="203"/>
      <c r="Z536" s="16"/>
    </row>
    <row r="537" ht="15.75" customHeight="1">
      <c r="M537" s="203"/>
      <c r="N537" s="203"/>
      <c r="O537" s="203"/>
      <c r="Z537" s="16"/>
    </row>
    <row r="538" ht="15.75" customHeight="1">
      <c r="M538" s="203"/>
      <c r="N538" s="203"/>
      <c r="O538" s="203"/>
      <c r="Z538" s="16"/>
    </row>
    <row r="539" ht="15.75" customHeight="1">
      <c r="M539" s="203"/>
      <c r="N539" s="203"/>
      <c r="O539" s="203"/>
      <c r="Z539" s="16"/>
    </row>
    <row r="540" ht="15.75" customHeight="1">
      <c r="M540" s="203"/>
      <c r="N540" s="203"/>
      <c r="O540" s="203"/>
      <c r="Z540" s="16"/>
    </row>
    <row r="541" ht="15.75" customHeight="1">
      <c r="M541" s="203"/>
      <c r="N541" s="203"/>
      <c r="O541" s="203"/>
      <c r="Z541" s="16"/>
    </row>
    <row r="542" ht="15.75" customHeight="1">
      <c r="M542" s="203"/>
      <c r="N542" s="203"/>
      <c r="O542" s="203"/>
      <c r="Z542" s="16"/>
    </row>
    <row r="543" ht="15.75" customHeight="1">
      <c r="M543" s="203"/>
      <c r="N543" s="203"/>
      <c r="O543" s="203"/>
      <c r="Z543" s="16"/>
    </row>
    <row r="544" ht="15.75" customHeight="1">
      <c r="M544" s="203"/>
      <c r="N544" s="203"/>
      <c r="O544" s="203"/>
      <c r="Z544" s="16"/>
    </row>
    <row r="545" ht="15.75" customHeight="1">
      <c r="M545" s="203"/>
      <c r="N545" s="203"/>
      <c r="O545" s="203"/>
      <c r="Z545" s="16"/>
    </row>
    <row r="546" ht="15.75" customHeight="1">
      <c r="M546" s="203"/>
      <c r="N546" s="203"/>
      <c r="O546" s="203"/>
      <c r="Z546" s="16"/>
    </row>
    <row r="547" ht="15.75" customHeight="1">
      <c r="M547" s="203"/>
      <c r="N547" s="203"/>
      <c r="O547" s="203"/>
      <c r="Z547" s="16"/>
    </row>
    <row r="548" ht="15.75" customHeight="1">
      <c r="M548" s="203"/>
      <c r="N548" s="203"/>
      <c r="O548" s="203"/>
      <c r="Z548" s="16"/>
    </row>
    <row r="549" ht="15.75" customHeight="1">
      <c r="M549" s="203"/>
      <c r="N549" s="203"/>
      <c r="O549" s="203"/>
      <c r="Z549" s="16"/>
    </row>
    <row r="550" ht="15.75" customHeight="1">
      <c r="M550" s="203"/>
      <c r="N550" s="203"/>
      <c r="O550" s="203"/>
      <c r="Z550" s="16"/>
    </row>
    <row r="551" ht="15.75" customHeight="1">
      <c r="M551" s="203"/>
      <c r="N551" s="203"/>
      <c r="O551" s="203"/>
      <c r="Z551" s="16"/>
    </row>
    <row r="552" ht="15.75" customHeight="1">
      <c r="M552" s="203"/>
      <c r="N552" s="203"/>
      <c r="O552" s="203"/>
      <c r="Z552" s="16"/>
    </row>
    <row r="553" ht="15.75" customHeight="1">
      <c r="M553" s="203"/>
      <c r="N553" s="203"/>
      <c r="O553" s="203"/>
      <c r="Z553" s="16"/>
    </row>
    <row r="554" ht="15.75" customHeight="1">
      <c r="M554" s="203"/>
      <c r="N554" s="203"/>
      <c r="O554" s="203"/>
      <c r="Z554" s="16"/>
    </row>
    <row r="555" ht="15.75" customHeight="1">
      <c r="M555" s="203"/>
      <c r="N555" s="203"/>
      <c r="O555" s="203"/>
      <c r="Z555" s="16"/>
    </row>
    <row r="556" ht="15.75" customHeight="1">
      <c r="M556" s="203"/>
      <c r="N556" s="203"/>
      <c r="O556" s="203"/>
      <c r="Z556" s="16"/>
    </row>
    <row r="557" ht="15.75" customHeight="1">
      <c r="M557" s="203"/>
      <c r="N557" s="203"/>
      <c r="O557" s="203"/>
      <c r="Z557" s="16"/>
    </row>
    <row r="558" ht="15.75" customHeight="1">
      <c r="M558" s="203"/>
      <c r="N558" s="203"/>
      <c r="O558" s="203"/>
      <c r="Z558" s="16"/>
    </row>
    <row r="559" ht="15.75" customHeight="1">
      <c r="M559" s="203"/>
      <c r="N559" s="203"/>
      <c r="O559" s="203"/>
      <c r="Z559" s="16"/>
    </row>
    <row r="560" ht="15.75" customHeight="1">
      <c r="M560" s="203"/>
      <c r="N560" s="203"/>
      <c r="O560" s="203"/>
      <c r="Z560" s="16"/>
    </row>
    <row r="561" ht="15.75" customHeight="1">
      <c r="M561" s="203"/>
      <c r="N561" s="203"/>
      <c r="O561" s="203"/>
      <c r="Z561" s="16"/>
    </row>
    <row r="562" ht="15.75" customHeight="1">
      <c r="M562" s="203"/>
      <c r="N562" s="203"/>
      <c r="O562" s="203"/>
      <c r="Z562" s="16"/>
    </row>
    <row r="563" ht="15.75" customHeight="1">
      <c r="M563" s="203"/>
      <c r="N563" s="203"/>
      <c r="O563" s="203"/>
      <c r="Z563" s="16"/>
    </row>
    <row r="564" ht="15.75" customHeight="1">
      <c r="M564" s="203"/>
      <c r="N564" s="203"/>
      <c r="O564" s="203"/>
      <c r="Z564" s="16"/>
    </row>
    <row r="565" ht="15.75" customHeight="1">
      <c r="M565" s="203"/>
      <c r="N565" s="203"/>
      <c r="O565" s="203"/>
      <c r="Z565" s="16"/>
    </row>
    <row r="566" ht="15.75" customHeight="1">
      <c r="M566" s="203"/>
      <c r="N566" s="203"/>
      <c r="O566" s="203"/>
      <c r="Z566" s="16"/>
    </row>
    <row r="567" ht="15.75" customHeight="1">
      <c r="M567" s="203"/>
      <c r="N567" s="203"/>
      <c r="O567" s="203"/>
      <c r="Z567" s="16"/>
    </row>
    <row r="568" ht="15.75" customHeight="1">
      <c r="M568" s="203"/>
      <c r="N568" s="203"/>
      <c r="O568" s="203"/>
      <c r="Z568" s="16"/>
    </row>
    <row r="569" ht="15.75" customHeight="1">
      <c r="M569" s="203"/>
      <c r="N569" s="203"/>
      <c r="O569" s="203"/>
      <c r="Z569" s="16"/>
    </row>
    <row r="570" ht="15.75" customHeight="1">
      <c r="M570" s="203"/>
      <c r="N570" s="203"/>
      <c r="O570" s="203"/>
      <c r="Z570" s="16"/>
    </row>
    <row r="571" ht="15.75" customHeight="1">
      <c r="M571" s="203"/>
      <c r="N571" s="203"/>
      <c r="O571" s="203"/>
      <c r="Z571" s="16"/>
    </row>
    <row r="572" ht="15.75" customHeight="1">
      <c r="M572" s="203"/>
      <c r="N572" s="203"/>
      <c r="O572" s="203"/>
      <c r="Z572" s="16"/>
    </row>
    <row r="573" ht="15.75" customHeight="1">
      <c r="M573" s="203"/>
      <c r="N573" s="203"/>
      <c r="O573" s="203"/>
      <c r="Z573" s="16"/>
    </row>
    <row r="574" ht="15.75" customHeight="1">
      <c r="M574" s="203"/>
      <c r="N574" s="203"/>
      <c r="O574" s="203"/>
      <c r="Z574" s="16"/>
    </row>
    <row r="575" ht="15.75" customHeight="1">
      <c r="M575" s="203"/>
      <c r="N575" s="203"/>
      <c r="O575" s="203"/>
      <c r="Z575" s="16"/>
    </row>
    <row r="576" ht="15.75" customHeight="1">
      <c r="M576" s="203"/>
      <c r="N576" s="203"/>
      <c r="O576" s="203"/>
      <c r="Z576" s="16"/>
    </row>
    <row r="577" ht="15.75" customHeight="1">
      <c r="M577" s="203"/>
      <c r="N577" s="203"/>
      <c r="O577" s="203"/>
      <c r="Z577" s="16"/>
    </row>
    <row r="578" ht="15.75" customHeight="1">
      <c r="M578" s="203"/>
      <c r="N578" s="203"/>
      <c r="O578" s="203"/>
      <c r="Z578" s="16"/>
    </row>
    <row r="579" ht="15.75" customHeight="1">
      <c r="M579" s="203"/>
      <c r="N579" s="203"/>
      <c r="O579" s="203"/>
      <c r="Z579" s="16"/>
    </row>
    <row r="580" ht="15.75" customHeight="1">
      <c r="M580" s="203"/>
      <c r="N580" s="203"/>
      <c r="O580" s="203"/>
      <c r="Z580" s="16"/>
    </row>
    <row r="581" ht="15.75" customHeight="1">
      <c r="M581" s="203"/>
      <c r="N581" s="203"/>
      <c r="O581" s="203"/>
      <c r="Z581" s="16"/>
    </row>
    <row r="582" ht="15.75" customHeight="1">
      <c r="M582" s="203"/>
      <c r="N582" s="203"/>
      <c r="O582" s="203"/>
      <c r="Z582" s="16"/>
    </row>
    <row r="583" ht="15.75" customHeight="1">
      <c r="M583" s="203"/>
      <c r="N583" s="203"/>
      <c r="O583" s="203"/>
      <c r="Z583" s="16"/>
    </row>
    <row r="584" ht="15.75" customHeight="1">
      <c r="M584" s="203"/>
      <c r="N584" s="203"/>
      <c r="O584" s="203"/>
      <c r="Z584" s="16"/>
    </row>
    <row r="585" ht="15.75" customHeight="1">
      <c r="M585" s="203"/>
      <c r="N585" s="203"/>
      <c r="O585" s="203"/>
      <c r="Z585" s="16"/>
    </row>
    <row r="586" ht="15.75" customHeight="1">
      <c r="M586" s="203"/>
      <c r="N586" s="203"/>
      <c r="O586" s="203"/>
      <c r="Z586" s="16"/>
    </row>
    <row r="587" ht="15.75" customHeight="1">
      <c r="M587" s="203"/>
      <c r="N587" s="203"/>
      <c r="O587" s="203"/>
      <c r="Z587" s="16"/>
    </row>
    <row r="588" ht="15.75" customHeight="1">
      <c r="M588" s="203"/>
      <c r="N588" s="203"/>
      <c r="O588" s="203"/>
      <c r="Z588" s="16"/>
    </row>
    <row r="589" ht="15.75" customHeight="1">
      <c r="M589" s="203"/>
      <c r="N589" s="203"/>
      <c r="O589" s="203"/>
      <c r="Z589" s="16"/>
    </row>
    <row r="590" ht="15.75" customHeight="1">
      <c r="M590" s="203"/>
      <c r="N590" s="203"/>
      <c r="O590" s="203"/>
      <c r="Z590" s="16"/>
    </row>
    <row r="591" ht="15.75" customHeight="1">
      <c r="M591" s="203"/>
      <c r="N591" s="203"/>
      <c r="O591" s="203"/>
      <c r="Z591" s="16"/>
    </row>
    <row r="592" ht="15.75" customHeight="1">
      <c r="M592" s="203"/>
      <c r="N592" s="203"/>
      <c r="O592" s="203"/>
      <c r="Z592" s="16"/>
    </row>
    <row r="593" ht="15.75" customHeight="1">
      <c r="M593" s="203"/>
      <c r="N593" s="203"/>
      <c r="O593" s="203"/>
      <c r="Z593" s="16"/>
    </row>
    <row r="594" ht="15.75" customHeight="1">
      <c r="M594" s="203"/>
      <c r="N594" s="203"/>
      <c r="O594" s="203"/>
      <c r="Z594" s="16"/>
    </row>
    <row r="595" ht="15.75" customHeight="1">
      <c r="M595" s="203"/>
      <c r="N595" s="203"/>
      <c r="O595" s="203"/>
      <c r="Z595" s="16"/>
    </row>
    <row r="596" ht="15.75" customHeight="1">
      <c r="M596" s="203"/>
      <c r="N596" s="203"/>
      <c r="O596" s="203"/>
      <c r="Z596" s="16"/>
    </row>
    <row r="597" ht="15.75" customHeight="1">
      <c r="M597" s="203"/>
      <c r="N597" s="203"/>
      <c r="O597" s="203"/>
      <c r="Z597" s="16"/>
    </row>
    <row r="598" ht="15.75" customHeight="1">
      <c r="M598" s="203"/>
      <c r="N598" s="203"/>
      <c r="O598" s="203"/>
      <c r="Z598" s="16"/>
    </row>
    <row r="599" ht="15.75" customHeight="1">
      <c r="M599" s="203"/>
      <c r="N599" s="203"/>
      <c r="O599" s="203"/>
      <c r="Z599" s="16"/>
    </row>
    <row r="600" ht="15.75" customHeight="1">
      <c r="M600" s="203"/>
      <c r="N600" s="203"/>
      <c r="O600" s="203"/>
      <c r="Z600" s="16"/>
    </row>
    <row r="601" ht="15.75" customHeight="1">
      <c r="M601" s="203"/>
      <c r="N601" s="203"/>
      <c r="O601" s="203"/>
      <c r="Z601" s="16"/>
    </row>
    <row r="602" ht="15.75" customHeight="1">
      <c r="M602" s="203"/>
      <c r="N602" s="203"/>
      <c r="O602" s="203"/>
      <c r="Z602" s="16"/>
    </row>
    <row r="603" ht="15.75" customHeight="1">
      <c r="M603" s="203"/>
      <c r="N603" s="203"/>
      <c r="O603" s="203"/>
      <c r="Z603" s="16"/>
    </row>
    <row r="604" ht="15.75" customHeight="1">
      <c r="M604" s="203"/>
      <c r="N604" s="203"/>
      <c r="O604" s="203"/>
      <c r="Z604" s="16"/>
    </row>
    <row r="605" ht="15.75" customHeight="1">
      <c r="M605" s="203"/>
      <c r="N605" s="203"/>
      <c r="O605" s="203"/>
      <c r="Z605" s="16"/>
    </row>
    <row r="606" ht="15.75" customHeight="1">
      <c r="M606" s="203"/>
      <c r="N606" s="203"/>
      <c r="O606" s="203"/>
      <c r="Z606" s="16"/>
    </row>
    <row r="607" ht="15.75" customHeight="1">
      <c r="M607" s="203"/>
      <c r="N607" s="203"/>
      <c r="O607" s="203"/>
      <c r="Z607" s="16"/>
    </row>
    <row r="608" ht="15.75" customHeight="1">
      <c r="M608" s="203"/>
      <c r="N608" s="203"/>
      <c r="O608" s="203"/>
      <c r="Z608" s="16"/>
    </row>
    <row r="609" ht="15.75" customHeight="1">
      <c r="M609" s="203"/>
      <c r="N609" s="203"/>
      <c r="O609" s="203"/>
      <c r="Z609" s="16"/>
    </row>
    <row r="610" ht="15.75" customHeight="1">
      <c r="M610" s="203"/>
      <c r="N610" s="203"/>
      <c r="O610" s="203"/>
      <c r="Z610" s="16"/>
    </row>
    <row r="611" ht="15.75" customHeight="1">
      <c r="M611" s="203"/>
      <c r="N611" s="203"/>
      <c r="O611" s="203"/>
      <c r="Z611" s="16"/>
    </row>
    <row r="612" ht="15.75" customHeight="1">
      <c r="M612" s="203"/>
      <c r="N612" s="203"/>
      <c r="O612" s="203"/>
      <c r="Z612" s="16"/>
    </row>
    <row r="613" ht="15.75" customHeight="1">
      <c r="M613" s="203"/>
      <c r="N613" s="203"/>
      <c r="O613" s="203"/>
      <c r="Z613" s="16"/>
    </row>
    <row r="614" ht="15.75" customHeight="1">
      <c r="M614" s="203"/>
      <c r="N614" s="203"/>
      <c r="O614" s="203"/>
      <c r="Z614" s="16"/>
    </row>
    <row r="615" ht="15.75" customHeight="1">
      <c r="M615" s="203"/>
      <c r="N615" s="203"/>
      <c r="O615" s="203"/>
      <c r="Z615" s="16"/>
    </row>
    <row r="616" ht="15.75" customHeight="1">
      <c r="M616" s="203"/>
      <c r="N616" s="203"/>
      <c r="O616" s="203"/>
      <c r="Z616" s="16"/>
    </row>
    <row r="617" ht="15.75" customHeight="1">
      <c r="M617" s="203"/>
      <c r="N617" s="203"/>
      <c r="O617" s="203"/>
      <c r="Z617" s="16"/>
    </row>
    <row r="618" ht="15.75" customHeight="1">
      <c r="M618" s="203"/>
      <c r="N618" s="203"/>
      <c r="O618" s="203"/>
      <c r="Z618" s="16"/>
    </row>
    <row r="619" ht="15.75" customHeight="1">
      <c r="M619" s="203"/>
      <c r="N619" s="203"/>
      <c r="O619" s="203"/>
      <c r="Z619" s="16"/>
    </row>
    <row r="620" ht="15.75" customHeight="1">
      <c r="M620" s="203"/>
      <c r="N620" s="203"/>
      <c r="O620" s="203"/>
      <c r="Z620" s="16"/>
    </row>
    <row r="621" ht="15.75" customHeight="1">
      <c r="M621" s="203"/>
      <c r="N621" s="203"/>
      <c r="O621" s="203"/>
      <c r="Z621" s="16"/>
    </row>
    <row r="622" ht="15.75" customHeight="1">
      <c r="M622" s="203"/>
      <c r="N622" s="203"/>
      <c r="O622" s="203"/>
      <c r="Z622" s="16"/>
    </row>
    <row r="623" ht="15.75" customHeight="1">
      <c r="M623" s="203"/>
      <c r="N623" s="203"/>
      <c r="O623" s="203"/>
      <c r="Z623" s="16"/>
    </row>
    <row r="624" ht="15.75" customHeight="1">
      <c r="M624" s="203"/>
      <c r="N624" s="203"/>
      <c r="O624" s="203"/>
      <c r="Z624" s="16"/>
    </row>
    <row r="625" ht="15.75" customHeight="1">
      <c r="M625" s="203"/>
      <c r="N625" s="203"/>
      <c r="O625" s="203"/>
      <c r="Z625" s="16"/>
    </row>
    <row r="626" ht="15.75" customHeight="1">
      <c r="M626" s="203"/>
      <c r="N626" s="203"/>
      <c r="O626" s="203"/>
      <c r="Z626" s="16"/>
    </row>
    <row r="627" ht="15.75" customHeight="1">
      <c r="M627" s="203"/>
      <c r="N627" s="203"/>
      <c r="O627" s="203"/>
      <c r="Z627" s="16"/>
    </row>
    <row r="628" ht="15.75" customHeight="1">
      <c r="M628" s="203"/>
      <c r="N628" s="203"/>
      <c r="O628" s="203"/>
      <c r="Z628" s="16"/>
    </row>
    <row r="629" ht="15.75" customHeight="1">
      <c r="M629" s="203"/>
      <c r="N629" s="203"/>
      <c r="O629" s="203"/>
      <c r="Z629" s="16"/>
    </row>
    <row r="630" ht="15.75" customHeight="1">
      <c r="M630" s="203"/>
      <c r="N630" s="203"/>
      <c r="O630" s="203"/>
      <c r="Z630" s="16"/>
    </row>
    <row r="631" ht="15.75" customHeight="1">
      <c r="M631" s="203"/>
      <c r="N631" s="203"/>
      <c r="O631" s="203"/>
      <c r="Z631" s="16"/>
    </row>
    <row r="632" ht="15.75" customHeight="1">
      <c r="M632" s="203"/>
      <c r="N632" s="203"/>
      <c r="O632" s="203"/>
      <c r="Z632" s="16"/>
    </row>
    <row r="633" ht="15.75" customHeight="1">
      <c r="M633" s="203"/>
      <c r="N633" s="203"/>
      <c r="O633" s="203"/>
      <c r="Z633" s="16"/>
    </row>
    <row r="634" ht="15.75" customHeight="1">
      <c r="M634" s="203"/>
      <c r="N634" s="203"/>
      <c r="O634" s="203"/>
      <c r="Z634" s="16"/>
    </row>
    <row r="635" ht="15.75" customHeight="1">
      <c r="M635" s="203"/>
      <c r="N635" s="203"/>
      <c r="O635" s="203"/>
      <c r="Z635" s="16"/>
    </row>
    <row r="636" ht="15.75" customHeight="1">
      <c r="M636" s="203"/>
      <c r="N636" s="203"/>
      <c r="O636" s="203"/>
      <c r="Z636" s="16"/>
    </row>
    <row r="637" ht="15.75" customHeight="1">
      <c r="M637" s="203"/>
      <c r="N637" s="203"/>
      <c r="O637" s="203"/>
      <c r="Z637" s="16"/>
    </row>
    <row r="638" ht="15.75" customHeight="1">
      <c r="M638" s="203"/>
      <c r="N638" s="203"/>
      <c r="O638" s="203"/>
      <c r="Z638" s="16"/>
    </row>
    <row r="639" ht="15.75" customHeight="1">
      <c r="M639" s="203"/>
      <c r="N639" s="203"/>
      <c r="O639" s="203"/>
      <c r="Z639" s="16"/>
    </row>
    <row r="640" ht="15.75" customHeight="1">
      <c r="M640" s="203"/>
      <c r="N640" s="203"/>
      <c r="O640" s="203"/>
      <c r="Z640" s="16"/>
    </row>
    <row r="641" ht="15.75" customHeight="1">
      <c r="M641" s="203"/>
      <c r="N641" s="203"/>
      <c r="O641" s="203"/>
      <c r="Z641" s="16"/>
    </row>
    <row r="642" ht="15.75" customHeight="1">
      <c r="M642" s="203"/>
      <c r="N642" s="203"/>
      <c r="O642" s="203"/>
      <c r="Z642" s="16"/>
    </row>
    <row r="643" ht="15.75" customHeight="1">
      <c r="M643" s="203"/>
      <c r="N643" s="203"/>
      <c r="O643" s="203"/>
      <c r="Z643" s="16"/>
    </row>
    <row r="644" ht="15.75" customHeight="1">
      <c r="M644" s="203"/>
      <c r="N644" s="203"/>
      <c r="O644" s="203"/>
      <c r="Z644" s="16"/>
    </row>
    <row r="645" ht="15.75" customHeight="1">
      <c r="M645" s="203"/>
      <c r="N645" s="203"/>
      <c r="O645" s="203"/>
      <c r="Z645" s="16"/>
    </row>
    <row r="646" ht="15.75" customHeight="1">
      <c r="M646" s="203"/>
      <c r="N646" s="203"/>
      <c r="O646" s="203"/>
      <c r="Z646" s="16"/>
    </row>
    <row r="647" ht="15.75" customHeight="1">
      <c r="M647" s="203"/>
      <c r="N647" s="203"/>
      <c r="O647" s="203"/>
      <c r="Z647" s="16"/>
    </row>
    <row r="648" ht="15.75" customHeight="1">
      <c r="M648" s="203"/>
      <c r="N648" s="203"/>
      <c r="O648" s="203"/>
      <c r="Z648" s="16"/>
    </row>
    <row r="649" ht="15.75" customHeight="1">
      <c r="M649" s="203"/>
      <c r="N649" s="203"/>
      <c r="O649" s="203"/>
      <c r="Z649" s="16"/>
    </row>
    <row r="650" ht="15.75" customHeight="1">
      <c r="M650" s="203"/>
      <c r="N650" s="203"/>
      <c r="O650" s="203"/>
      <c r="Z650" s="16"/>
    </row>
    <row r="651" ht="15.75" customHeight="1">
      <c r="M651" s="203"/>
      <c r="N651" s="203"/>
      <c r="O651" s="203"/>
      <c r="Z651" s="16"/>
    </row>
    <row r="652" ht="15.75" customHeight="1">
      <c r="M652" s="203"/>
      <c r="N652" s="203"/>
      <c r="O652" s="203"/>
      <c r="Z652" s="16"/>
    </row>
    <row r="653" ht="15.75" customHeight="1">
      <c r="M653" s="203"/>
      <c r="N653" s="203"/>
      <c r="O653" s="203"/>
      <c r="Z653" s="16"/>
    </row>
    <row r="654" ht="15.75" customHeight="1">
      <c r="M654" s="203"/>
      <c r="N654" s="203"/>
      <c r="O654" s="203"/>
      <c r="Z654" s="16"/>
    </row>
    <row r="655" ht="15.75" customHeight="1">
      <c r="M655" s="203"/>
      <c r="N655" s="203"/>
      <c r="O655" s="203"/>
      <c r="Z655" s="16"/>
    </row>
    <row r="656" ht="15.75" customHeight="1">
      <c r="M656" s="203"/>
      <c r="N656" s="203"/>
      <c r="O656" s="203"/>
      <c r="Z656" s="16"/>
    </row>
    <row r="657" ht="15.75" customHeight="1">
      <c r="M657" s="203"/>
      <c r="N657" s="203"/>
      <c r="O657" s="203"/>
      <c r="Z657" s="16"/>
    </row>
    <row r="658" ht="15.75" customHeight="1">
      <c r="M658" s="203"/>
      <c r="N658" s="203"/>
      <c r="O658" s="203"/>
      <c r="Z658" s="16"/>
    </row>
    <row r="659" ht="15.75" customHeight="1">
      <c r="M659" s="203"/>
      <c r="N659" s="203"/>
      <c r="O659" s="203"/>
      <c r="Z659" s="16"/>
    </row>
    <row r="660" ht="15.75" customHeight="1">
      <c r="M660" s="203"/>
      <c r="N660" s="203"/>
      <c r="O660" s="203"/>
      <c r="Z660" s="16"/>
    </row>
    <row r="661" ht="15.75" customHeight="1">
      <c r="M661" s="203"/>
      <c r="N661" s="203"/>
      <c r="O661" s="203"/>
      <c r="Z661" s="16"/>
    </row>
    <row r="662" ht="15.75" customHeight="1">
      <c r="M662" s="203"/>
      <c r="N662" s="203"/>
      <c r="O662" s="203"/>
      <c r="Z662" s="16"/>
    </row>
    <row r="663" ht="15.75" customHeight="1">
      <c r="M663" s="203"/>
      <c r="N663" s="203"/>
      <c r="O663" s="203"/>
      <c r="Z663" s="16"/>
    </row>
    <row r="664" ht="15.75" customHeight="1">
      <c r="M664" s="203"/>
      <c r="N664" s="203"/>
      <c r="O664" s="203"/>
      <c r="Z664" s="16"/>
    </row>
    <row r="665" ht="15.75" customHeight="1">
      <c r="M665" s="203"/>
      <c r="N665" s="203"/>
      <c r="O665" s="203"/>
      <c r="Z665" s="16"/>
    </row>
    <row r="666" ht="15.75" customHeight="1">
      <c r="M666" s="203"/>
      <c r="N666" s="203"/>
      <c r="O666" s="203"/>
      <c r="Z666" s="16"/>
    </row>
    <row r="667" ht="15.75" customHeight="1">
      <c r="M667" s="203"/>
      <c r="N667" s="203"/>
      <c r="O667" s="203"/>
      <c r="Z667" s="16"/>
    </row>
    <row r="668" ht="15.75" customHeight="1">
      <c r="M668" s="203"/>
      <c r="N668" s="203"/>
      <c r="O668" s="203"/>
      <c r="Z668" s="16"/>
    </row>
    <row r="669" ht="15.75" customHeight="1">
      <c r="M669" s="203"/>
      <c r="N669" s="203"/>
      <c r="O669" s="203"/>
      <c r="Z669" s="16"/>
    </row>
    <row r="670" ht="15.75" customHeight="1">
      <c r="M670" s="203"/>
      <c r="N670" s="203"/>
      <c r="O670" s="203"/>
      <c r="Z670" s="16"/>
    </row>
    <row r="671" ht="15.75" customHeight="1">
      <c r="M671" s="203"/>
      <c r="N671" s="203"/>
      <c r="O671" s="203"/>
      <c r="Z671" s="16"/>
    </row>
    <row r="672" ht="15.75" customHeight="1">
      <c r="M672" s="203"/>
      <c r="N672" s="203"/>
      <c r="O672" s="203"/>
      <c r="Z672" s="16"/>
    </row>
    <row r="673" ht="15.75" customHeight="1">
      <c r="M673" s="203"/>
      <c r="N673" s="203"/>
      <c r="O673" s="203"/>
      <c r="Z673" s="16"/>
    </row>
    <row r="674" ht="15.75" customHeight="1">
      <c r="M674" s="203"/>
      <c r="N674" s="203"/>
      <c r="O674" s="203"/>
      <c r="Z674" s="16"/>
    </row>
    <row r="675" ht="15.75" customHeight="1">
      <c r="M675" s="203"/>
      <c r="N675" s="203"/>
      <c r="O675" s="203"/>
      <c r="Z675" s="16"/>
    </row>
    <row r="676" ht="15.75" customHeight="1">
      <c r="M676" s="203"/>
      <c r="N676" s="203"/>
      <c r="O676" s="203"/>
      <c r="Z676" s="16"/>
    </row>
    <row r="677" ht="15.75" customHeight="1">
      <c r="M677" s="203"/>
      <c r="N677" s="203"/>
      <c r="O677" s="203"/>
      <c r="Z677" s="16"/>
    </row>
    <row r="678" ht="15.75" customHeight="1">
      <c r="M678" s="203"/>
      <c r="N678" s="203"/>
      <c r="O678" s="203"/>
      <c r="Z678" s="16"/>
    </row>
    <row r="679" ht="15.75" customHeight="1">
      <c r="M679" s="203"/>
      <c r="N679" s="203"/>
      <c r="O679" s="203"/>
      <c r="Z679" s="16"/>
    </row>
    <row r="680" ht="15.75" customHeight="1">
      <c r="M680" s="203"/>
      <c r="N680" s="203"/>
      <c r="O680" s="203"/>
      <c r="Z680" s="16"/>
    </row>
    <row r="681" ht="15.75" customHeight="1">
      <c r="M681" s="203"/>
      <c r="N681" s="203"/>
      <c r="O681" s="203"/>
      <c r="Z681" s="16"/>
    </row>
    <row r="682" ht="15.75" customHeight="1">
      <c r="M682" s="203"/>
      <c r="N682" s="203"/>
      <c r="O682" s="203"/>
      <c r="Z682" s="16"/>
    </row>
    <row r="683" ht="15.75" customHeight="1">
      <c r="M683" s="203"/>
      <c r="N683" s="203"/>
      <c r="O683" s="203"/>
      <c r="Z683" s="16"/>
    </row>
    <row r="684" ht="15.75" customHeight="1">
      <c r="M684" s="203"/>
      <c r="N684" s="203"/>
      <c r="O684" s="203"/>
      <c r="Z684" s="16"/>
    </row>
    <row r="685" ht="15.75" customHeight="1">
      <c r="M685" s="203"/>
      <c r="N685" s="203"/>
      <c r="O685" s="203"/>
      <c r="Z685" s="16"/>
    </row>
    <row r="686" ht="15.75" customHeight="1">
      <c r="M686" s="203"/>
      <c r="N686" s="203"/>
      <c r="O686" s="203"/>
      <c r="Z686" s="16"/>
    </row>
    <row r="687" ht="15.75" customHeight="1">
      <c r="M687" s="203"/>
      <c r="N687" s="203"/>
      <c r="O687" s="203"/>
      <c r="Z687" s="16"/>
    </row>
    <row r="688" ht="15.75" customHeight="1">
      <c r="M688" s="203"/>
      <c r="N688" s="203"/>
      <c r="O688" s="203"/>
      <c r="Z688" s="16"/>
    </row>
    <row r="689" ht="15.75" customHeight="1">
      <c r="M689" s="203"/>
      <c r="N689" s="203"/>
      <c r="O689" s="203"/>
      <c r="Z689" s="16"/>
    </row>
    <row r="690" ht="15.75" customHeight="1">
      <c r="M690" s="203"/>
      <c r="N690" s="203"/>
      <c r="O690" s="203"/>
      <c r="Z690" s="16"/>
    </row>
    <row r="691" ht="15.75" customHeight="1">
      <c r="M691" s="203"/>
      <c r="N691" s="203"/>
      <c r="O691" s="203"/>
      <c r="Z691" s="16"/>
    </row>
    <row r="692" ht="15.75" customHeight="1">
      <c r="M692" s="203"/>
      <c r="N692" s="203"/>
      <c r="O692" s="203"/>
      <c r="Z692" s="16"/>
    </row>
    <row r="693" ht="15.75" customHeight="1">
      <c r="M693" s="203"/>
      <c r="N693" s="203"/>
      <c r="O693" s="203"/>
      <c r="Z693" s="16"/>
    </row>
    <row r="694" ht="15.75" customHeight="1">
      <c r="M694" s="203"/>
      <c r="N694" s="203"/>
      <c r="O694" s="203"/>
      <c r="Z694" s="16"/>
    </row>
    <row r="695" ht="15.75" customHeight="1">
      <c r="M695" s="203"/>
      <c r="N695" s="203"/>
      <c r="O695" s="203"/>
      <c r="Z695" s="16"/>
    </row>
    <row r="696" ht="15.75" customHeight="1">
      <c r="M696" s="203"/>
      <c r="N696" s="203"/>
      <c r="O696" s="203"/>
      <c r="Z696" s="16"/>
    </row>
    <row r="697" ht="15.75" customHeight="1">
      <c r="M697" s="203"/>
      <c r="N697" s="203"/>
      <c r="O697" s="203"/>
      <c r="Z697" s="16"/>
    </row>
    <row r="698" ht="15.75" customHeight="1">
      <c r="M698" s="203"/>
      <c r="N698" s="203"/>
      <c r="O698" s="203"/>
      <c r="Z698" s="16"/>
    </row>
    <row r="699" ht="15.75" customHeight="1">
      <c r="M699" s="203"/>
      <c r="N699" s="203"/>
      <c r="O699" s="203"/>
      <c r="Z699" s="16"/>
    </row>
    <row r="700" ht="15.75" customHeight="1">
      <c r="M700" s="203"/>
      <c r="N700" s="203"/>
      <c r="O700" s="203"/>
      <c r="Z700" s="16"/>
    </row>
    <row r="701" ht="15.75" customHeight="1">
      <c r="M701" s="203"/>
      <c r="N701" s="203"/>
      <c r="O701" s="203"/>
      <c r="Z701" s="16"/>
    </row>
    <row r="702" ht="15.75" customHeight="1">
      <c r="M702" s="203"/>
      <c r="N702" s="203"/>
      <c r="O702" s="203"/>
      <c r="Z702" s="16"/>
    </row>
    <row r="703" ht="15.75" customHeight="1">
      <c r="M703" s="203"/>
      <c r="N703" s="203"/>
      <c r="O703" s="203"/>
      <c r="Z703" s="16"/>
    </row>
    <row r="704" ht="15.75" customHeight="1">
      <c r="M704" s="203"/>
      <c r="N704" s="203"/>
      <c r="O704" s="203"/>
      <c r="Z704" s="16"/>
    </row>
    <row r="705" ht="15.75" customHeight="1">
      <c r="M705" s="203"/>
      <c r="N705" s="203"/>
      <c r="O705" s="203"/>
      <c r="Z705" s="16"/>
    </row>
    <row r="706" ht="15.75" customHeight="1">
      <c r="M706" s="203"/>
      <c r="N706" s="203"/>
      <c r="O706" s="203"/>
      <c r="Z706" s="16"/>
    </row>
    <row r="707" ht="15.75" customHeight="1">
      <c r="M707" s="203"/>
      <c r="N707" s="203"/>
      <c r="O707" s="203"/>
      <c r="Z707" s="16"/>
    </row>
    <row r="708" ht="15.75" customHeight="1">
      <c r="M708" s="203"/>
      <c r="N708" s="203"/>
      <c r="O708" s="203"/>
      <c r="Z708" s="16"/>
    </row>
    <row r="709" ht="15.75" customHeight="1">
      <c r="M709" s="203"/>
      <c r="N709" s="203"/>
      <c r="O709" s="203"/>
      <c r="Z709" s="16"/>
    </row>
    <row r="710" ht="15.75" customHeight="1">
      <c r="M710" s="203"/>
      <c r="N710" s="203"/>
      <c r="O710" s="203"/>
      <c r="Z710" s="16"/>
    </row>
    <row r="711" ht="15.75" customHeight="1">
      <c r="M711" s="203"/>
      <c r="N711" s="203"/>
      <c r="O711" s="203"/>
      <c r="Z711" s="16"/>
    </row>
    <row r="712" ht="15.75" customHeight="1">
      <c r="M712" s="203"/>
      <c r="N712" s="203"/>
      <c r="O712" s="203"/>
      <c r="Z712" s="16"/>
    </row>
    <row r="713" ht="15.75" customHeight="1">
      <c r="M713" s="203"/>
      <c r="N713" s="203"/>
      <c r="O713" s="203"/>
      <c r="Z713" s="16"/>
    </row>
    <row r="714" ht="15.75" customHeight="1">
      <c r="M714" s="203"/>
      <c r="N714" s="203"/>
      <c r="O714" s="203"/>
      <c r="Z714" s="16"/>
    </row>
    <row r="715" ht="15.75" customHeight="1">
      <c r="M715" s="203"/>
      <c r="N715" s="203"/>
      <c r="O715" s="203"/>
      <c r="Z715" s="16"/>
    </row>
    <row r="716" ht="15.75" customHeight="1">
      <c r="M716" s="203"/>
      <c r="N716" s="203"/>
      <c r="O716" s="203"/>
      <c r="Z716" s="16"/>
    </row>
    <row r="717" ht="15.75" customHeight="1">
      <c r="M717" s="203"/>
      <c r="N717" s="203"/>
      <c r="O717" s="203"/>
      <c r="Z717" s="16"/>
    </row>
    <row r="718" ht="15.75" customHeight="1">
      <c r="M718" s="203"/>
      <c r="N718" s="203"/>
      <c r="O718" s="203"/>
      <c r="Z718" s="16"/>
    </row>
    <row r="719" ht="15.75" customHeight="1">
      <c r="M719" s="203"/>
      <c r="N719" s="203"/>
      <c r="O719" s="203"/>
      <c r="Z719" s="16"/>
    </row>
    <row r="720" ht="15.75" customHeight="1">
      <c r="M720" s="203"/>
      <c r="N720" s="203"/>
      <c r="O720" s="203"/>
      <c r="Z720" s="16"/>
    </row>
    <row r="721" ht="15.75" customHeight="1">
      <c r="M721" s="203"/>
      <c r="N721" s="203"/>
      <c r="O721" s="203"/>
      <c r="Z721" s="16"/>
    </row>
    <row r="722" ht="15.75" customHeight="1">
      <c r="M722" s="203"/>
      <c r="N722" s="203"/>
      <c r="O722" s="203"/>
      <c r="Z722" s="16"/>
    </row>
    <row r="723" ht="15.75" customHeight="1">
      <c r="M723" s="203"/>
      <c r="N723" s="203"/>
      <c r="O723" s="203"/>
      <c r="Z723" s="16"/>
    </row>
    <row r="724" ht="15.75" customHeight="1">
      <c r="M724" s="203"/>
      <c r="N724" s="203"/>
      <c r="O724" s="203"/>
      <c r="Z724" s="16"/>
    </row>
    <row r="725" ht="15.75" customHeight="1">
      <c r="M725" s="203"/>
      <c r="N725" s="203"/>
      <c r="O725" s="203"/>
      <c r="Z725" s="16"/>
    </row>
    <row r="726" ht="15.75" customHeight="1">
      <c r="M726" s="203"/>
      <c r="N726" s="203"/>
      <c r="O726" s="203"/>
      <c r="Z726" s="16"/>
    </row>
    <row r="727" ht="15.75" customHeight="1">
      <c r="M727" s="203"/>
      <c r="N727" s="203"/>
      <c r="O727" s="203"/>
      <c r="Z727" s="16"/>
    </row>
    <row r="728" ht="15.75" customHeight="1">
      <c r="M728" s="203"/>
      <c r="N728" s="203"/>
      <c r="O728" s="203"/>
      <c r="Z728" s="16"/>
    </row>
    <row r="729" ht="15.75" customHeight="1">
      <c r="M729" s="203"/>
      <c r="N729" s="203"/>
      <c r="O729" s="203"/>
      <c r="Z729" s="16"/>
    </row>
    <row r="730" ht="15.75" customHeight="1">
      <c r="M730" s="203"/>
      <c r="N730" s="203"/>
      <c r="O730" s="203"/>
      <c r="Z730" s="16"/>
    </row>
    <row r="731" ht="15.75" customHeight="1">
      <c r="M731" s="203"/>
      <c r="N731" s="203"/>
      <c r="O731" s="203"/>
      <c r="Z731" s="16"/>
    </row>
    <row r="732" ht="15.75" customHeight="1">
      <c r="M732" s="203"/>
      <c r="N732" s="203"/>
      <c r="O732" s="203"/>
      <c r="Z732" s="16"/>
    </row>
    <row r="733" ht="15.75" customHeight="1">
      <c r="M733" s="203"/>
      <c r="N733" s="203"/>
      <c r="O733" s="203"/>
      <c r="Z733" s="16"/>
    </row>
    <row r="734" ht="15.75" customHeight="1">
      <c r="M734" s="203"/>
      <c r="N734" s="203"/>
      <c r="O734" s="203"/>
      <c r="Z734" s="16"/>
    </row>
    <row r="735" ht="15.75" customHeight="1">
      <c r="M735" s="203"/>
      <c r="N735" s="203"/>
      <c r="O735" s="203"/>
      <c r="Z735" s="16"/>
    </row>
    <row r="736" ht="15.75" customHeight="1">
      <c r="M736" s="203"/>
      <c r="N736" s="203"/>
      <c r="O736" s="203"/>
      <c r="Z736" s="16"/>
    </row>
    <row r="737" ht="15.75" customHeight="1">
      <c r="M737" s="203"/>
      <c r="N737" s="203"/>
      <c r="O737" s="203"/>
      <c r="Z737" s="16"/>
    </row>
    <row r="738" ht="15.75" customHeight="1">
      <c r="M738" s="203"/>
      <c r="N738" s="203"/>
      <c r="O738" s="203"/>
      <c r="Z738" s="16"/>
    </row>
    <row r="739" ht="15.75" customHeight="1">
      <c r="M739" s="203"/>
      <c r="N739" s="203"/>
      <c r="O739" s="203"/>
      <c r="Z739" s="16"/>
    </row>
    <row r="740" ht="15.75" customHeight="1">
      <c r="M740" s="203"/>
      <c r="N740" s="203"/>
      <c r="O740" s="203"/>
      <c r="Z740" s="16"/>
    </row>
    <row r="741" ht="15.75" customHeight="1">
      <c r="M741" s="203"/>
      <c r="N741" s="203"/>
      <c r="O741" s="203"/>
      <c r="Z741" s="16"/>
    </row>
    <row r="742" ht="15.75" customHeight="1">
      <c r="M742" s="203"/>
      <c r="N742" s="203"/>
      <c r="O742" s="203"/>
      <c r="Z742" s="16"/>
    </row>
    <row r="743" ht="15.75" customHeight="1">
      <c r="M743" s="203"/>
      <c r="N743" s="203"/>
      <c r="O743" s="203"/>
      <c r="Z743" s="16"/>
    </row>
    <row r="744" ht="15.75" customHeight="1">
      <c r="M744" s="203"/>
      <c r="N744" s="203"/>
      <c r="O744" s="203"/>
      <c r="Z744" s="16"/>
    </row>
    <row r="745" ht="15.75" customHeight="1">
      <c r="M745" s="203"/>
      <c r="N745" s="203"/>
      <c r="O745" s="203"/>
      <c r="Z745" s="16"/>
    </row>
    <row r="746" ht="15.75" customHeight="1">
      <c r="M746" s="203"/>
      <c r="N746" s="203"/>
      <c r="O746" s="203"/>
      <c r="Z746" s="16"/>
    </row>
    <row r="747" ht="15.75" customHeight="1">
      <c r="M747" s="203"/>
      <c r="N747" s="203"/>
      <c r="O747" s="203"/>
      <c r="Z747" s="16"/>
    </row>
    <row r="748" ht="15.75" customHeight="1">
      <c r="M748" s="203"/>
      <c r="N748" s="203"/>
      <c r="O748" s="203"/>
      <c r="Z748" s="16"/>
    </row>
    <row r="749" ht="15.75" customHeight="1">
      <c r="M749" s="203"/>
      <c r="N749" s="203"/>
      <c r="O749" s="203"/>
      <c r="Z749" s="16"/>
    </row>
    <row r="750" ht="15.75" customHeight="1">
      <c r="M750" s="203"/>
      <c r="N750" s="203"/>
      <c r="O750" s="203"/>
      <c r="Z750" s="16"/>
    </row>
    <row r="751" ht="15.75" customHeight="1">
      <c r="M751" s="203"/>
      <c r="N751" s="203"/>
      <c r="O751" s="203"/>
      <c r="Z751" s="16"/>
    </row>
    <row r="752" ht="15.75" customHeight="1">
      <c r="M752" s="203"/>
      <c r="N752" s="203"/>
      <c r="O752" s="203"/>
      <c r="Z752" s="16"/>
    </row>
    <row r="753" ht="15.75" customHeight="1">
      <c r="M753" s="203"/>
      <c r="N753" s="203"/>
      <c r="O753" s="203"/>
      <c r="Z753" s="16"/>
    </row>
    <row r="754" ht="15.75" customHeight="1">
      <c r="M754" s="203"/>
      <c r="N754" s="203"/>
      <c r="O754" s="203"/>
      <c r="Z754" s="16"/>
    </row>
    <row r="755" ht="15.75" customHeight="1">
      <c r="M755" s="203"/>
      <c r="N755" s="203"/>
      <c r="O755" s="203"/>
      <c r="Z755" s="16"/>
    </row>
    <row r="756" ht="15.75" customHeight="1">
      <c r="M756" s="203"/>
      <c r="N756" s="203"/>
      <c r="O756" s="203"/>
      <c r="Z756" s="16"/>
    </row>
    <row r="757" ht="15.75" customHeight="1">
      <c r="M757" s="203"/>
      <c r="N757" s="203"/>
      <c r="O757" s="203"/>
      <c r="Z757" s="16"/>
    </row>
    <row r="758" ht="15.75" customHeight="1">
      <c r="M758" s="203"/>
      <c r="N758" s="203"/>
      <c r="O758" s="203"/>
      <c r="Z758" s="16"/>
    </row>
    <row r="759" ht="15.75" customHeight="1">
      <c r="M759" s="203"/>
      <c r="N759" s="203"/>
      <c r="O759" s="203"/>
      <c r="Z759" s="16"/>
    </row>
    <row r="760" ht="15.75" customHeight="1">
      <c r="M760" s="203"/>
      <c r="N760" s="203"/>
      <c r="O760" s="203"/>
      <c r="Z760" s="16"/>
    </row>
    <row r="761" ht="15.75" customHeight="1">
      <c r="M761" s="203"/>
      <c r="N761" s="203"/>
      <c r="O761" s="203"/>
      <c r="Z761" s="16"/>
    </row>
    <row r="762" ht="15.75" customHeight="1">
      <c r="M762" s="203"/>
      <c r="N762" s="203"/>
      <c r="O762" s="203"/>
      <c r="Z762" s="16"/>
    </row>
    <row r="763" ht="15.75" customHeight="1">
      <c r="M763" s="203"/>
      <c r="N763" s="203"/>
      <c r="O763" s="203"/>
      <c r="Z763" s="16"/>
    </row>
    <row r="764" ht="15.75" customHeight="1">
      <c r="M764" s="203"/>
      <c r="N764" s="203"/>
      <c r="O764" s="203"/>
      <c r="Z764" s="16"/>
    </row>
    <row r="765" ht="15.75" customHeight="1">
      <c r="M765" s="203"/>
      <c r="N765" s="203"/>
      <c r="O765" s="203"/>
      <c r="Z765" s="16"/>
    </row>
    <row r="766" ht="15.75" customHeight="1">
      <c r="M766" s="203"/>
      <c r="N766" s="203"/>
      <c r="O766" s="203"/>
      <c r="Z766" s="16"/>
    </row>
    <row r="767" ht="15.75" customHeight="1">
      <c r="M767" s="203"/>
      <c r="N767" s="203"/>
      <c r="O767" s="203"/>
      <c r="Z767" s="16"/>
    </row>
    <row r="768" ht="15.75" customHeight="1">
      <c r="M768" s="203"/>
      <c r="N768" s="203"/>
      <c r="O768" s="203"/>
      <c r="Z768" s="16"/>
    </row>
    <row r="769" ht="15.75" customHeight="1">
      <c r="M769" s="203"/>
      <c r="N769" s="203"/>
      <c r="O769" s="203"/>
      <c r="Z769" s="16"/>
    </row>
    <row r="770" ht="15.75" customHeight="1">
      <c r="M770" s="203"/>
      <c r="N770" s="203"/>
      <c r="O770" s="203"/>
      <c r="Z770" s="16"/>
    </row>
    <row r="771" ht="15.75" customHeight="1">
      <c r="M771" s="203"/>
      <c r="N771" s="203"/>
      <c r="O771" s="203"/>
      <c r="Z771" s="16"/>
    </row>
    <row r="772" ht="15.75" customHeight="1">
      <c r="M772" s="203"/>
      <c r="N772" s="203"/>
      <c r="O772" s="203"/>
      <c r="Z772" s="16"/>
    </row>
    <row r="773" ht="15.75" customHeight="1">
      <c r="M773" s="203"/>
      <c r="N773" s="203"/>
      <c r="O773" s="203"/>
      <c r="Z773" s="16"/>
    </row>
    <row r="774" ht="15.75" customHeight="1">
      <c r="M774" s="203"/>
      <c r="N774" s="203"/>
      <c r="O774" s="203"/>
      <c r="Z774" s="16"/>
    </row>
    <row r="775" ht="15.75" customHeight="1">
      <c r="M775" s="203"/>
      <c r="N775" s="203"/>
      <c r="O775" s="203"/>
      <c r="Z775" s="16"/>
    </row>
    <row r="776" ht="15.75" customHeight="1">
      <c r="M776" s="203"/>
      <c r="N776" s="203"/>
      <c r="O776" s="203"/>
      <c r="Z776" s="16"/>
    </row>
    <row r="777" ht="15.75" customHeight="1">
      <c r="M777" s="203"/>
      <c r="N777" s="203"/>
      <c r="O777" s="203"/>
      <c r="Z777" s="16"/>
    </row>
    <row r="778" ht="15.75" customHeight="1">
      <c r="M778" s="203"/>
      <c r="N778" s="203"/>
      <c r="O778" s="203"/>
      <c r="Z778" s="16"/>
    </row>
    <row r="779" ht="15.75" customHeight="1">
      <c r="M779" s="203"/>
      <c r="N779" s="203"/>
      <c r="O779" s="203"/>
      <c r="Z779" s="16"/>
    </row>
    <row r="780" ht="15.75" customHeight="1">
      <c r="M780" s="203"/>
      <c r="N780" s="203"/>
      <c r="O780" s="203"/>
      <c r="Z780" s="16"/>
    </row>
    <row r="781" ht="15.75" customHeight="1">
      <c r="M781" s="203"/>
      <c r="N781" s="203"/>
      <c r="O781" s="203"/>
      <c r="Z781" s="16"/>
    </row>
    <row r="782" ht="15.75" customHeight="1">
      <c r="M782" s="203"/>
      <c r="N782" s="203"/>
      <c r="O782" s="203"/>
      <c r="Z782" s="16"/>
    </row>
    <row r="783" ht="15.75" customHeight="1">
      <c r="M783" s="203"/>
      <c r="N783" s="203"/>
      <c r="O783" s="203"/>
      <c r="Z783" s="16"/>
    </row>
    <row r="784" ht="15.75" customHeight="1">
      <c r="M784" s="203"/>
      <c r="N784" s="203"/>
      <c r="O784" s="203"/>
      <c r="Z784" s="16"/>
    </row>
    <row r="785" ht="15.75" customHeight="1">
      <c r="M785" s="203"/>
      <c r="N785" s="203"/>
      <c r="O785" s="203"/>
      <c r="Z785" s="16"/>
    </row>
    <row r="786" ht="15.75" customHeight="1">
      <c r="M786" s="203"/>
      <c r="N786" s="203"/>
      <c r="O786" s="203"/>
      <c r="Z786" s="16"/>
    </row>
    <row r="787" ht="15.75" customHeight="1">
      <c r="M787" s="203"/>
      <c r="N787" s="203"/>
      <c r="O787" s="203"/>
      <c r="Z787" s="16"/>
    </row>
    <row r="788" ht="15.75" customHeight="1">
      <c r="M788" s="203"/>
      <c r="N788" s="203"/>
      <c r="O788" s="203"/>
      <c r="Z788" s="16"/>
    </row>
    <row r="789" ht="15.75" customHeight="1">
      <c r="M789" s="203"/>
      <c r="N789" s="203"/>
      <c r="O789" s="203"/>
      <c r="Z789" s="16"/>
    </row>
    <row r="790" ht="15.75" customHeight="1">
      <c r="M790" s="203"/>
      <c r="N790" s="203"/>
      <c r="O790" s="203"/>
      <c r="Z790" s="16"/>
    </row>
    <row r="791" ht="15.75" customHeight="1">
      <c r="M791" s="203"/>
      <c r="N791" s="203"/>
      <c r="O791" s="203"/>
      <c r="Z791" s="16"/>
    </row>
    <row r="792" ht="15.75" customHeight="1">
      <c r="M792" s="203"/>
      <c r="N792" s="203"/>
      <c r="O792" s="203"/>
      <c r="Z792" s="16"/>
    </row>
    <row r="793" ht="15.75" customHeight="1">
      <c r="M793" s="203"/>
      <c r="N793" s="203"/>
      <c r="O793" s="203"/>
      <c r="Z793" s="16"/>
    </row>
    <row r="794" ht="15.75" customHeight="1">
      <c r="M794" s="203"/>
      <c r="N794" s="203"/>
      <c r="O794" s="203"/>
      <c r="Z794" s="16"/>
    </row>
    <row r="795" ht="15.75" customHeight="1">
      <c r="M795" s="203"/>
      <c r="N795" s="203"/>
      <c r="O795" s="203"/>
      <c r="Z795" s="16"/>
    </row>
    <row r="796" ht="15.75" customHeight="1">
      <c r="M796" s="203"/>
      <c r="N796" s="203"/>
      <c r="O796" s="203"/>
      <c r="Z796" s="16"/>
    </row>
    <row r="797" ht="15.75" customHeight="1">
      <c r="M797" s="203"/>
      <c r="N797" s="203"/>
      <c r="O797" s="203"/>
      <c r="Z797" s="16"/>
    </row>
    <row r="798" ht="15.75" customHeight="1">
      <c r="M798" s="203"/>
      <c r="N798" s="203"/>
      <c r="O798" s="203"/>
      <c r="Z798" s="16"/>
    </row>
    <row r="799" ht="15.75" customHeight="1">
      <c r="M799" s="203"/>
      <c r="N799" s="203"/>
      <c r="O799" s="203"/>
      <c r="Z799" s="16"/>
    </row>
    <row r="800" ht="15.75" customHeight="1">
      <c r="M800" s="203"/>
      <c r="N800" s="203"/>
      <c r="O800" s="203"/>
      <c r="Z800" s="16"/>
    </row>
    <row r="801" ht="15.75" customHeight="1">
      <c r="M801" s="203"/>
      <c r="N801" s="203"/>
      <c r="O801" s="203"/>
      <c r="Z801" s="16"/>
    </row>
    <row r="802" ht="15.75" customHeight="1">
      <c r="M802" s="203"/>
      <c r="N802" s="203"/>
      <c r="O802" s="203"/>
      <c r="Z802" s="16"/>
    </row>
    <row r="803" ht="15.75" customHeight="1">
      <c r="M803" s="203"/>
      <c r="N803" s="203"/>
      <c r="O803" s="203"/>
      <c r="Z803" s="16"/>
    </row>
    <row r="804" ht="15.75" customHeight="1">
      <c r="M804" s="203"/>
      <c r="N804" s="203"/>
      <c r="O804" s="203"/>
      <c r="Z804" s="16"/>
    </row>
    <row r="805" ht="15.75" customHeight="1">
      <c r="M805" s="203"/>
      <c r="N805" s="203"/>
      <c r="O805" s="203"/>
      <c r="Z805" s="16"/>
    </row>
    <row r="806" ht="15.75" customHeight="1">
      <c r="M806" s="203"/>
      <c r="N806" s="203"/>
      <c r="O806" s="203"/>
      <c r="Z806" s="16"/>
    </row>
    <row r="807" ht="15.75" customHeight="1">
      <c r="M807" s="203"/>
      <c r="N807" s="203"/>
      <c r="O807" s="203"/>
      <c r="Z807" s="16"/>
    </row>
    <row r="808" ht="15.75" customHeight="1">
      <c r="M808" s="203"/>
      <c r="N808" s="203"/>
      <c r="O808" s="203"/>
      <c r="Z808" s="16"/>
    </row>
    <row r="809" ht="15.75" customHeight="1">
      <c r="M809" s="203"/>
      <c r="N809" s="203"/>
      <c r="O809" s="203"/>
      <c r="Z809" s="16"/>
    </row>
    <row r="810" ht="15.75" customHeight="1">
      <c r="M810" s="203"/>
      <c r="N810" s="203"/>
      <c r="O810" s="203"/>
      <c r="Z810" s="16"/>
    </row>
    <row r="811" ht="15.75" customHeight="1">
      <c r="M811" s="203"/>
      <c r="N811" s="203"/>
      <c r="O811" s="203"/>
      <c r="Z811" s="16"/>
    </row>
    <row r="812" ht="15.75" customHeight="1">
      <c r="M812" s="203"/>
      <c r="N812" s="203"/>
      <c r="O812" s="203"/>
      <c r="Z812" s="16"/>
    </row>
    <row r="813" ht="15.75" customHeight="1">
      <c r="M813" s="203"/>
      <c r="N813" s="203"/>
      <c r="O813" s="203"/>
      <c r="Z813" s="16"/>
    </row>
    <row r="814" ht="15.75" customHeight="1">
      <c r="M814" s="203"/>
      <c r="N814" s="203"/>
      <c r="O814" s="203"/>
      <c r="Z814" s="16"/>
    </row>
    <row r="815" ht="15.75" customHeight="1">
      <c r="M815" s="203"/>
      <c r="N815" s="203"/>
      <c r="O815" s="203"/>
      <c r="Z815" s="16"/>
    </row>
    <row r="816" ht="15.75" customHeight="1">
      <c r="M816" s="203"/>
      <c r="N816" s="203"/>
      <c r="O816" s="203"/>
      <c r="Z816" s="16"/>
    </row>
    <row r="817" ht="15.75" customHeight="1">
      <c r="M817" s="203"/>
      <c r="N817" s="203"/>
      <c r="O817" s="203"/>
      <c r="Z817" s="16"/>
    </row>
    <row r="818" ht="15.75" customHeight="1">
      <c r="M818" s="203"/>
      <c r="N818" s="203"/>
      <c r="O818" s="203"/>
      <c r="Z818" s="16"/>
    </row>
    <row r="819" ht="15.75" customHeight="1">
      <c r="M819" s="203"/>
      <c r="N819" s="203"/>
      <c r="O819" s="203"/>
      <c r="Z819" s="16"/>
    </row>
    <row r="820" ht="15.75" customHeight="1">
      <c r="M820" s="203"/>
      <c r="N820" s="203"/>
      <c r="O820" s="203"/>
      <c r="Z820" s="16"/>
    </row>
    <row r="821" ht="15.75" customHeight="1">
      <c r="M821" s="203"/>
      <c r="N821" s="203"/>
      <c r="O821" s="203"/>
      <c r="Z821" s="16"/>
    </row>
    <row r="822" ht="15.75" customHeight="1">
      <c r="M822" s="203"/>
      <c r="N822" s="203"/>
      <c r="O822" s="203"/>
      <c r="Z822" s="16"/>
    </row>
    <row r="823" ht="15.75" customHeight="1">
      <c r="M823" s="203"/>
      <c r="N823" s="203"/>
      <c r="O823" s="203"/>
      <c r="Z823" s="16"/>
    </row>
    <row r="824" ht="15.75" customHeight="1">
      <c r="M824" s="203"/>
      <c r="N824" s="203"/>
      <c r="O824" s="203"/>
      <c r="Z824" s="16"/>
    </row>
    <row r="825" ht="15.75" customHeight="1">
      <c r="M825" s="203"/>
      <c r="N825" s="203"/>
      <c r="O825" s="203"/>
      <c r="Z825" s="16"/>
    </row>
    <row r="826" ht="15.75" customHeight="1">
      <c r="M826" s="203"/>
      <c r="N826" s="203"/>
      <c r="O826" s="203"/>
      <c r="Z826" s="16"/>
    </row>
    <row r="827" ht="15.75" customHeight="1">
      <c r="M827" s="203"/>
      <c r="N827" s="203"/>
      <c r="O827" s="203"/>
      <c r="Z827" s="16"/>
    </row>
    <row r="828" ht="15.75" customHeight="1">
      <c r="M828" s="203"/>
      <c r="N828" s="203"/>
      <c r="O828" s="203"/>
      <c r="Z828" s="16"/>
    </row>
    <row r="829" ht="15.75" customHeight="1">
      <c r="M829" s="203"/>
      <c r="N829" s="203"/>
      <c r="O829" s="203"/>
      <c r="Z829" s="16"/>
    </row>
    <row r="830" ht="15.75" customHeight="1">
      <c r="M830" s="203"/>
      <c r="N830" s="203"/>
      <c r="O830" s="203"/>
      <c r="Z830" s="16"/>
    </row>
    <row r="831" ht="15.75" customHeight="1">
      <c r="M831" s="203"/>
      <c r="N831" s="203"/>
      <c r="O831" s="203"/>
      <c r="Z831" s="16"/>
    </row>
    <row r="832" ht="15.75" customHeight="1">
      <c r="M832" s="203"/>
      <c r="N832" s="203"/>
      <c r="O832" s="203"/>
      <c r="Z832" s="16"/>
    </row>
    <row r="833" ht="15.75" customHeight="1">
      <c r="M833" s="203"/>
      <c r="N833" s="203"/>
      <c r="O833" s="203"/>
      <c r="Z833" s="16"/>
    </row>
    <row r="834" ht="15.75" customHeight="1">
      <c r="M834" s="203"/>
      <c r="N834" s="203"/>
      <c r="O834" s="203"/>
      <c r="Z834" s="16"/>
    </row>
    <row r="835" ht="15.75" customHeight="1">
      <c r="M835" s="203"/>
      <c r="N835" s="203"/>
      <c r="O835" s="203"/>
      <c r="Z835" s="16"/>
    </row>
    <row r="836" ht="15.75" customHeight="1">
      <c r="M836" s="203"/>
      <c r="N836" s="203"/>
      <c r="O836" s="203"/>
      <c r="Z836" s="16"/>
    </row>
    <row r="837" ht="15.75" customHeight="1">
      <c r="M837" s="203"/>
      <c r="N837" s="203"/>
      <c r="O837" s="203"/>
      <c r="Z837" s="16"/>
    </row>
    <row r="838" ht="15.75" customHeight="1">
      <c r="M838" s="203"/>
      <c r="N838" s="203"/>
      <c r="O838" s="203"/>
      <c r="Z838" s="16"/>
    </row>
    <row r="839" ht="15.75" customHeight="1">
      <c r="M839" s="203"/>
      <c r="N839" s="203"/>
      <c r="O839" s="203"/>
      <c r="Z839" s="16"/>
    </row>
    <row r="840" ht="15.75" customHeight="1">
      <c r="M840" s="203"/>
      <c r="N840" s="203"/>
      <c r="O840" s="203"/>
      <c r="Z840" s="16"/>
    </row>
    <row r="841" ht="15.75" customHeight="1">
      <c r="M841" s="203"/>
      <c r="N841" s="203"/>
      <c r="O841" s="203"/>
      <c r="Z841" s="16"/>
    </row>
    <row r="842" ht="15.75" customHeight="1">
      <c r="M842" s="203"/>
      <c r="N842" s="203"/>
      <c r="O842" s="203"/>
      <c r="Z842" s="16"/>
    </row>
    <row r="843" ht="15.75" customHeight="1">
      <c r="M843" s="203"/>
      <c r="N843" s="203"/>
      <c r="O843" s="203"/>
      <c r="Z843" s="16"/>
    </row>
    <row r="844" ht="15.75" customHeight="1">
      <c r="M844" s="203"/>
      <c r="N844" s="203"/>
      <c r="O844" s="203"/>
      <c r="Z844" s="16"/>
    </row>
    <row r="845" ht="15.75" customHeight="1">
      <c r="M845" s="203"/>
      <c r="N845" s="203"/>
      <c r="O845" s="203"/>
      <c r="Z845" s="16"/>
    </row>
    <row r="846" ht="15.75" customHeight="1">
      <c r="M846" s="203"/>
      <c r="N846" s="203"/>
      <c r="O846" s="203"/>
      <c r="Z846" s="16"/>
    </row>
    <row r="847" ht="15.75" customHeight="1">
      <c r="M847" s="203"/>
      <c r="N847" s="203"/>
      <c r="O847" s="203"/>
      <c r="Z847" s="16"/>
    </row>
    <row r="848" ht="15.75" customHeight="1">
      <c r="M848" s="203"/>
      <c r="N848" s="203"/>
      <c r="O848" s="203"/>
      <c r="Z848" s="16"/>
    </row>
    <row r="849" ht="15.75" customHeight="1">
      <c r="M849" s="203"/>
      <c r="N849" s="203"/>
      <c r="O849" s="203"/>
      <c r="Z849" s="16"/>
    </row>
    <row r="850" ht="15.75" customHeight="1">
      <c r="M850" s="203"/>
      <c r="N850" s="203"/>
      <c r="O850" s="203"/>
      <c r="Z850" s="16"/>
    </row>
    <row r="851" ht="15.75" customHeight="1">
      <c r="M851" s="203"/>
      <c r="N851" s="203"/>
      <c r="O851" s="203"/>
      <c r="Z851" s="16"/>
    </row>
    <row r="852" ht="15.75" customHeight="1">
      <c r="M852" s="203"/>
      <c r="N852" s="203"/>
      <c r="O852" s="203"/>
      <c r="Z852" s="16"/>
    </row>
    <row r="853" ht="15.75" customHeight="1">
      <c r="M853" s="203"/>
      <c r="N853" s="203"/>
      <c r="O853" s="203"/>
      <c r="Z853" s="16"/>
    </row>
    <row r="854" ht="15.75" customHeight="1">
      <c r="M854" s="203"/>
      <c r="N854" s="203"/>
      <c r="O854" s="203"/>
      <c r="Z854" s="16"/>
    </row>
    <row r="855" ht="15.75" customHeight="1">
      <c r="M855" s="203"/>
      <c r="N855" s="203"/>
      <c r="O855" s="203"/>
      <c r="Z855" s="16"/>
    </row>
    <row r="856" ht="15.75" customHeight="1">
      <c r="M856" s="203"/>
      <c r="N856" s="203"/>
      <c r="O856" s="203"/>
      <c r="Z856" s="16"/>
    </row>
    <row r="857" ht="15.75" customHeight="1">
      <c r="M857" s="203"/>
      <c r="N857" s="203"/>
      <c r="O857" s="203"/>
      <c r="Z857" s="16"/>
    </row>
    <row r="858" ht="15.75" customHeight="1">
      <c r="M858" s="203"/>
      <c r="N858" s="203"/>
      <c r="O858" s="203"/>
      <c r="Z858" s="16"/>
    </row>
    <row r="859" ht="15.75" customHeight="1">
      <c r="M859" s="203"/>
      <c r="N859" s="203"/>
      <c r="O859" s="203"/>
      <c r="Z859" s="16"/>
    </row>
    <row r="860" ht="15.75" customHeight="1">
      <c r="M860" s="203"/>
      <c r="N860" s="203"/>
      <c r="O860" s="203"/>
      <c r="Z860" s="16"/>
    </row>
    <row r="861" ht="15.75" customHeight="1">
      <c r="M861" s="203"/>
      <c r="N861" s="203"/>
      <c r="O861" s="203"/>
      <c r="Z861" s="16"/>
    </row>
    <row r="862" ht="15.75" customHeight="1">
      <c r="M862" s="203"/>
      <c r="N862" s="203"/>
      <c r="O862" s="203"/>
      <c r="Z862" s="16"/>
    </row>
    <row r="863" ht="15.75" customHeight="1">
      <c r="M863" s="203"/>
      <c r="N863" s="203"/>
      <c r="O863" s="203"/>
      <c r="Z863" s="16"/>
    </row>
    <row r="864" ht="15.75" customHeight="1">
      <c r="M864" s="203"/>
      <c r="N864" s="203"/>
      <c r="O864" s="203"/>
      <c r="Z864" s="16"/>
    </row>
    <row r="865" ht="15.75" customHeight="1">
      <c r="M865" s="203"/>
      <c r="N865" s="203"/>
      <c r="O865" s="203"/>
      <c r="Z865" s="16"/>
    </row>
    <row r="866" ht="15.75" customHeight="1">
      <c r="M866" s="203"/>
      <c r="N866" s="203"/>
      <c r="O866" s="203"/>
      <c r="Z866" s="16"/>
    </row>
    <row r="867" ht="15.75" customHeight="1">
      <c r="M867" s="203"/>
      <c r="N867" s="203"/>
      <c r="O867" s="203"/>
      <c r="Z867" s="16"/>
    </row>
    <row r="868" ht="15.75" customHeight="1">
      <c r="M868" s="203"/>
      <c r="N868" s="203"/>
      <c r="O868" s="203"/>
      <c r="Z868" s="16"/>
    </row>
    <row r="869" ht="15.75" customHeight="1">
      <c r="M869" s="203"/>
      <c r="N869" s="203"/>
      <c r="O869" s="203"/>
      <c r="Z869" s="16"/>
    </row>
    <row r="870" ht="15.75" customHeight="1">
      <c r="M870" s="203"/>
      <c r="N870" s="203"/>
      <c r="O870" s="203"/>
      <c r="Z870" s="16"/>
    </row>
    <row r="871" ht="15.75" customHeight="1">
      <c r="M871" s="203"/>
      <c r="N871" s="203"/>
      <c r="O871" s="203"/>
      <c r="Z871" s="16"/>
    </row>
    <row r="872" ht="15.75" customHeight="1">
      <c r="M872" s="203"/>
      <c r="N872" s="203"/>
      <c r="O872" s="203"/>
      <c r="Z872" s="16"/>
    </row>
    <row r="873" ht="15.75" customHeight="1">
      <c r="M873" s="203"/>
      <c r="N873" s="203"/>
      <c r="O873" s="203"/>
      <c r="Z873" s="16"/>
    </row>
    <row r="874" ht="15.75" customHeight="1">
      <c r="M874" s="203"/>
      <c r="N874" s="203"/>
      <c r="O874" s="203"/>
      <c r="Z874" s="16"/>
    </row>
    <row r="875" ht="15.75" customHeight="1">
      <c r="M875" s="203"/>
      <c r="N875" s="203"/>
      <c r="O875" s="203"/>
      <c r="Z875" s="16"/>
    </row>
    <row r="876" ht="15.75" customHeight="1">
      <c r="M876" s="203"/>
      <c r="N876" s="203"/>
      <c r="O876" s="203"/>
      <c r="Z876" s="16"/>
    </row>
    <row r="877" ht="15.75" customHeight="1">
      <c r="M877" s="203"/>
      <c r="N877" s="203"/>
      <c r="O877" s="203"/>
      <c r="Z877" s="16"/>
    </row>
    <row r="878" ht="15.75" customHeight="1">
      <c r="M878" s="203"/>
      <c r="N878" s="203"/>
      <c r="O878" s="203"/>
      <c r="Z878" s="16"/>
    </row>
    <row r="879" ht="15.75" customHeight="1">
      <c r="M879" s="203"/>
      <c r="N879" s="203"/>
      <c r="O879" s="203"/>
      <c r="Z879" s="16"/>
    </row>
    <row r="880" ht="15.75" customHeight="1">
      <c r="M880" s="203"/>
      <c r="N880" s="203"/>
      <c r="O880" s="203"/>
      <c r="Z880" s="16"/>
    </row>
    <row r="881" ht="15.75" customHeight="1">
      <c r="M881" s="203"/>
      <c r="N881" s="203"/>
      <c r="O881" s="203"/>
      <c r="Z881" s="16"/>
    </row>
    <row r="882" ht="15.75" customHeight="1">
      <c r="M882" s="203"/>
      <c r="N882" s="203"/>
      <c r="O882" s="203"/>
      <c r="Z882" s="16"/>
    </row>
    <row r="883" ht="15.75" customHeight="1">
      <c r="M883" s="203"/>
      <c r="N883" s="203"/>
      <c r="O883" s="203"/>
      <c r="Z883" s="16"/>
    </row>
    <row r="884" ht="15.75" customHeight="1">
      <c r="M884" s="203"/>
      <c r="N884" s="203"/>
      <c r="O884" s="203"/>
      <c r="Z884" s="16"/>
    </row>
    <row r="885" ht="15.75" customHeight="1">
      <c r="M885" s="203"/>
      <c r="N885" s="203"/>
      <c r="O885" s="203"/>
      <c r="Z885" s="16"/>
    </row>
    <row r="886" ht="15.75" customHeight="1">
      <c r="M886" s="203"/>
      <c r="N886" s="203"/>
      <c r="O886" s="203"/>
      <c r="Z886" s="16"/>
    </row>
    <row r="887" ht="15.75" customHeight="1">
      <c r="M887" s="203"/>
      <c r="N887" s="203"/>
      <c r="O887" s="203"/>
      <c r="Z887" s="16"/>
    </row>
    <row r="888" ht="15.75" customHeight="1">
      <c r="M888" s="203"/>
      <c r="N888" s="203"/>
      <c r="O888" s="203"/>
      <c r="Z888" s="16"/>
    </row>
    <row r="889" ht="15.75" customHeight="1">
      <c r="M889" s="203"/>
      <c r="N889" s="203"/>
      <c r="O889" s="203"/>
      <c r="Z889" s="16"/>
    </row>
    <row r="890" ht="15.75" customHeight="1">
      <c r="M890" s="203"/>
      <c r="N890" s="203"/>
      <c r="O890" s="203"/>
      <c r="Z890" s="16"/>
    </row>
    <row r="891" ht="15.75" customHeight="1">
      <c r="M891" s="203"/>
      <c r="N891" s="203"/>
      <c r="O891" s="203"/>
      <c r="Z891" s="16"/>
    </row>
    <row r="892" ht="15.75" customHeight="1">
      <c r="M892" s="203"/>
      <c r="N892" s="203"/>
      <c r="O892" s="203"/>
      <c r="Z892" s="16"/>
    </row>
    <row r="893" ht="15.75" customHeight="1">
      <c r="M893" s="203"/>
      <c r="N893" s="203"/>
      <c r="O893" s="203"/>
      <c r="Z893" s="16"/>
    </row>
    <row r="894" ht="15.75" customHeight="1">
      <c r="M894" s="203"/>
      <c r="N894" s="203"/>
      <c r="O894" s="203"/>
      <c r="Z894" s="16"/>
    </row>
    <row r="895" ht="15.75" customHeight="1">
      <c r="M895" s="203"/>
      <c r="N895" s="203"/>
      <c r="O895" s="203"/>
      <c r="Z895" s="16"/>
    </row>
    <row r="896" ht="15.75" customHeight="1">
      <c r="M896" s="203"/>
      <c r="N896" s="203"/>
      <c r="O896" s="203"/>
      <c r="Z896" s="16"/>
    </row>
    <row r="897" ht="15.75" customHeight="1">
      <c r="M897" s="203"/>
      <c r="N897" s="203"/>
      <c r="O897" s="203"/>
      <c r="Z897" s="16"/>
    </row>
    <row r="898" ht="15.75" customHeight="1">
      <c r="M898" s="203"/>
      <c r="N898" s="203"/>
      <c r="O898" s="203"/>
      <c r="Z898" s="16"/>
    </row>
    <row r="899" ht="15.75" customHeight="1">
      <c r="M899" s="203"/>
      <c r="N899" s="203"/>
      <c r="O899" s="203"/>
      <c r="Z899" s="16"/>
    </row>
    <row r="900" ht="15.75" customHeight="1">
      <c r="M900" s="203"/>
      <c r="N900" s="203"/>
      <c r="O900" s="203"/>
      <c r="Z900" s="16"/>
    </row>
    <row r="901" ht="15.75" customHeight="1">
      <c r="M901" s="203"/>
      <c r="N901" s="203"/>
      <c r="O901" s="203"/>
      <c r="Z901" s="16"/>
    </row>
    <row r="902" ht="15.75" customHeight="1">
      <c r="M902" s="203"/>
      <c r="N902" s="203"/>
      <c r="O902" s="203"/>
      <c r="Z902" s="16"/>
    </row>
    <row r="903" ht="15.75" customHeight="1">
      <c r="M903" s="203"/>
      <c r="N903" s="203"/>
      <c r="O903" s="203"/>
      <c r="Z903" s="16"/>
    </row>
    <row r="904" ht="15.75" customHeight="1">
      <c r="M904" s="203"/>
      <c r="N904" s="203"/>
      <c r="O904" s="203"/>
      <c r="Z904" s="16"/>
    </row>
    <row r="905" ht="15.75" customHeight="1">
      <c r="M905" s="203"/>
      <c r="N905" s="203"/>
      <c r="O905" s="203"/>
      <c r="Z905" s="16"/>
    </row>
    <row r="906" ht="15.75" customHeight="1">
      <c r="M906" s="203"/>
      <c r="N906" s="203"/>
      <c r="O906" s="203"/>
      <c r="Z906" s="16"/>
    </row>
    <row r="907" ht="15.75" customHeight="1">
      <c r="M907" s="203"/>
      <c r="N907" s="203"/>
      <c r="O907" s="203"/>
      <c r="Z907" s="16"/>
    </row>
    <row r="908" ht="15.75" customHeight="1">
      <c r="M908" s="203"/>
      <c r="N908" s="203"/>
      <c r="O908" s="203"/>
      <c r="Z908" s="16"/>
    </row>
    <row r="909" ht="15.75" customHeight="1">
      <c r="M909" s="203"/>
      <c r="N909" s="203"/>
      <c r="O909" s="203"/>
      <c r="Z909" s="16"/>
    </row>
    <row r="910" ht="15.75" customHeight="1">
      <c r="M910" s="203"/>
      <c r="N910" s="203"/>
      <c r="O910" s="203"/>
      <c r="Z910" s="16"/>
    </row>
    <row r="911" ht="15.75" customHeight="1">
      <c r="M911" s="203"/>
      <c r="N911" s="203"/>
      <c r="O911" s="203"/>
      <c r="Z911" s="16"/>
    </row>
    <row r="912" ht="15.75" customHeight="1">
      <c r="M912" s="203"/>
      <c r="N912" s="203"/>
      <c r="O912" s="203"/>
      <c r="Z912" s="16"/>
    </row>
    <row r="913" ht="15.75" customHeight="1">
      <c r="M913" s="203"/>
      <c r="N913" s="203"/>
      <c r="O913" s="203"/>
      <c r="Z913" s="16"/>
    </row>
    <row r="914" ht="15.75" customHeight="1">
      <c r="M914" s="203"/>
      <c r="N914" s="203"/>
      <c r="O914" s="203"/>
      <c r="Z914" s="16"/>
    </row>
    <row r="915" ht="15.75" customHeight="1">
      <c r="M915" s="203"/>
      <c r="N915" s="203"/>
      <c r="O915" s="203"/>
      <c r="Z915" s="16"/>
    </row>
    <row r="916" ht="15.75" customHeight="1">
      <c r="M916" s="203"/>
      <c r="N916" s="203"/>
      <c r="O916" s="203"/>
      <c r="Z916" s="16"/>
    </row>
    <row r="917" ht="15.75" customHeight="1">
      <c r="M917" s="203"/>
      <c r="N917" s="203"/>
      <c r="O917" s="203"/>
      <c r="Z917" s="16"/>
    </row>
    <row r="918" ht="15.75" customHeight="1">
      <c r="M918" s="203"/>
      <c r="N918" s="203"/>
      <c r="O918" s="203"/>
      <c r="Z918" s="16"/>
    </row>
    <row r="919" ht="15.75" customHeight="1">
      <c r="M919" s="203"/>
      <c r="N919" s="203"/>
      <c r="O919" s="203"/>
      <c r="Z919" s="16"/>
    </row>
    <row r="920" ht="15.75" customHeight="1">
      <c r="M920" s="203"/>
      <c r="N920" s="203"/>
      <c r="O920" s="203"/>
      <c r="Z920" s="16"/>
    </row>
    <row r="921" ht="15.75" customHeight="1">
      <c r="M921" s="203"/>
      <c r="N921" s="203"/>
      <c r="O921" s="203"/>
      <c r="Z921" s="16"/>
    </row>
    <row r="922" ht="15.75" customHeight="1">
      <c r="M922" s="203"/>
      <c r="N922" s="203"/>
      <c r="O922" s="203"/>
      <c r="Z922" s="16"/>
    </row>
    <row r="923" ht="15.75" customHeight="1">
      <c r="M923" s="203"/>
      <c r="N923" s="203"/>
      <c r="O923" s="203"/>
      <c r="Z923" s="16"/>
    </row>
    <row r="924" ht="15.75" customHeight="1">
      <c r="M924" s="203"/>
      <c r="N924" s="203"/>
      <c r="O924" s="203"/>
      <c r="Z924" s="16"/>
    </row>
    <row r="925" ht="15.75" customHeight="1">
      <c r="M925" s="203"/>
      <c r="N925" s="203"/>
      <c r="O925" s="203"/>
      <c r="Z925" s="16"/>
    </row>
    <row r="926" ht="15.75" customHeight="1">
      <c r="M926" s="203"/>
      <c r="N926" s="203"/>
      <c r="O926" s="203"/>
      <c r="Z926" s="16"/>
    </row>
    <row r="927" ht="15.75" customHeight="1">
      <c r="M927" s="203"/>
      <c r="N927" s="203"/>
      <c r="O927" s="203"/>
      <c r="Z927" s="16"/>
    </row>
    <row r="928" ht="15.75" customHeight="1">
      <c r="M928" s="203"/>
      <c r="N928" s="203"/>
      <c r="O928" s="203"/>
      <c r="Z928" s="16"/>
    </row>
    <row r="929" ht="15.75" customHeight="1">
      <c r="M929" s="203"/>
      <c r="N929" s="203"/>
      <c r="O929" s="203"/>
      <c r="Z929" s="16"/>
    </row>
    <row r="930" ht="15.75" customHeight="1">
      <c r="M930" s="203"/>
      <c r="N930" s="203"/>
      <c r="O930" s="203"/>
      <c r="Z930" s="16"/>
    </row>
    <row r="931" ht="15.75" customHeight="1">
      <c r="M931" s="203"/>
      <c r="N931" s="203"/>
      <c r="O931" s="203"/>
      <c r="Z931" s="16"/>
    </row>
    <row r="932" ht="15.75" customHeight="1">
      <c r="M932" s="203"/>
      <c r="N932" s="203"/>
      <c r="O932" s="203"/>
      <c r="Z932" s="16"/>
    </row>
    <row r="933" ht="15.75" customHeight="1">
      <c r="M933" s="203"/>
      <c r="N933" s="203"/>
      <c r="O933" s="203"/>
      <c r="Z933" s="16"/>
    </row>
    <row r="934" ht="15.75" customHeight="1">
      <c r="M934" s="203"/>
      <c r="N934" s="203"/>
      <c r="O934" s="203"/>
      <c r="Z934" s="16"/>
    </row>
    <row r="935" ht="15.75" customHeight="1">
      <c r="M935" s="203"/>
      <c r="N935" s="203"/>
      <c r="O935" s="203"/>
      <c r="Z935" s="16"/>
    </row>
    <row r="936" ht="15.75" customHeight="1">
      <c r="M936" s="203"/>
      <c r="N936" s="203"/>
      <c r="O936" s="203"/>
      <c r="Z936" s="16"/>
    </row>
    <row r="937" ht="15.75" customHeight="1">
      <c r="M937" s="203"/>
      <c r="N937" s="203"/>
      <c r="O937" s="203"/>
      <c r="Z937" s="16"/>
    </row>
    <row r="938" ht="15.75" customHeight="1">
      <c r="M938" s="203"/>
      <c r="N938" s="203"/>
      <c r="O938" s="203"/>
      <c r="Z938" s="16"/>
    </row>
    <row r="939" ht="15.75" customHeight="1">
      <c r="M939" s="203"/>
      <c r="N939" s="203"/>
      <c r="O939" s="203"/>
      <c r="Z939" s="16"/>
    </row>
    <row r="940" ht="15.75" customHeight="1">
      <c r="M940" s="203"/>
      <c r="N940" s="203"/>
      <c r="O940" s="203"/>
      <c r="Z940" s="16"/>
    </row>
    <row r="941" ht="15.75" customHeight="1">
      <c r="M941" s="203"/>
      <c r="N941" s="203"/>
      <c r="O941" s="203"/>
      <c r="Z941" s="16"/>
    </row>
    <row r="942" ht="15.75" customHeight="1">
      <c r="M942" s="203"/>
      <c r="N942" s="203"/>
      <c r="O942" s="203"/>
      <c r="Z942" s="16"/>
    </row>
    <row r="943" ht="15.75" customHeight="1">
      <c r="M943" s="203"/>
      <c r="N943" s="203"/>
      <c r="O943" s="203"/>
      <c r="Z943" s="16"/>
    </row>
    <row r="944" ht="15.75" customHeight="1">
      <c r="M944" s="203"/>
      <c r="N944" s="203"/>
      <c r="O944" s="203"/>
      <c r="Z944" s="16"/>
    </row>
    <row r="945" ht="15.75" customHeight="1">
      <c r="M945" s="203"/>
      <c r="N945" s="203"/>
      <c r="O945" s="203"/>
      <c r="Z945" s="16"/>
    </row>
    <row r="946" ht="15.75" customHeight="1">
      <c r="M946" s="203"/>
      <c r="N946" s="203"/>
      <c r="O946" s="203"/>
      <c r="Z946" s="16"/>
    </row>
    <row r="947" ht="15.75" customHeight="1">
      <c r="M947" s="203"/>
      <c r="N947" s="203"/>
      <c r="O947" s="203"/>
      <c r="Z947" s="16"/>
    </row>
    <row r="948" ht="15.75" customHeight="1">
      <c r="M948" s="203"/>
      <c r="N948" s="203"/>
      <c r="O948" s="203"/>
      <c r="Z948" s="16"/>
    </row>
    <row r="949" ht="15.75" customHeight="1">
      <c r="M949" s="203"/>
      <c r="N949" s="203"/>
      <c r="O949" s="203"/>
      <c r="Z949" s="16"/>
    </row>
    <row r="950" ht="15.75" customHeight="1">
      <c r="M950" s="203"/>
      <c r="N950" s="203"/>
      <c r="O950" s="203"/>
      <c r="Z950" s="16"/>
    </row>
    <row r="951" ht="15.75" customHeight="1">
      <c r="M951" s="203"/>
      <c r="N951" s="203"/>
      <c r="O951" s="203"/>
      <c r="Z951" s="16"/>
    </row>
    <row r="952" ht="15.75" customHeight="1">
      <c r="M952" s="203"/>
      <c r="N952" s="203"/>
      <c r="O952" s="203"/>
      <c r="Z952" s="16"/>
    </row>
    <row r="953" ht="15.75" customHeight="1">
      <c r="M953" s="203"/>
      <c r="N953" s="203"/>
      <c r="O953" s="203"/>
      <c r="Z953" s="16"/>
    </row>
    <row r="954" ht="15.75" customHeight="1">
      <c r="M954" s="203"/>
      <c r="N954" s="203"/>
      <c r="O954" s="203"/>
      <c r="Z954" s="16"/>
    </row>
    <row r="955" ht="15.75" customHeight="1">
      <c r="M955" s="203"/>
      <c r="N955" s="203"/>
      <c r="O955" s="203"/>
      <c r="Z955" s="16"/>
    </row>
    <row r="956" ht="15.75" customHeight="1">
      <c r="M956" s="203"/>
      <c r="N956" s="203"/>
      <c r="O956" s="203"/>
      <c r="Z956" s="16"/>
    </row>
    <row r="957" ht="15.75" customHeight="1">
      <c r="M957" s="203"/>
      <c r="N957" s="203"/>
      <c r="O957" s="203"/>
      <c r="Z957" s="16"/>
    </row>
    <row r="958" ht="15.75" customHeight="1">
      <c r="M958" s="203"/>
      <c r="N958" s="203"/>
      <c r="O958" s="203"/>
      <c r="Z958" s="16"/>
    </row>
    <row r="959" ht="15.75" customHeight="1">
      <c r="M959" s="203"/>
      <c r="N959" s="203"/>
      <c r="O959" s="203"/>
      <c r="Z959" s="16"/>
    </row>
    <row r="960" ht="15.75" customHeight="1">
      <c r="M960" s="203"/>
      <c r="N960" s="203"/>
      <c r="O960" s="203"/>
      <c r="Z960" s="16"/>
    </row>
    <row r="961" ht="15.75" customHeight="1">
      <c r="M961" s="203"/>
      <c r="N961" s="203"/>
      <c r="O961" s="203"/>
      <c r="Z961" s="16"/>
    </row>
    <row r="962" ht="15.75" customHeight="1">
      <c r="M962" s="203"/>
      <c r="N962" s="203"/>
      <c r="O962" s="203"/>
      <c r="Z962" s="16"/>
    </row>
    <row r="963" ht="15.75" customHeight="1">
      <c r="M963" s="203"/>
      <c r="N963" s="203"/>
      <c r="O963" s="203"/>
      <c r="Z963" s="16"/>
    </row>
    <row r="964" ht="15.75" customHeight="1">
      <c r="M964" s="203"/>
      <c r="N964" s="203"/>
      <c r="O964" s="203"/>
      <c r="Z964" s="16"/>
    </row>
    <row r="965" ht="15.75" customHeight="1">
      <c r="M965" s="203"/>
      <c r="N965" s="203"/>
      <c r="O965" s="203"/>
      <c r="Z965" s="16"/>
    </row>
    <row r="966" ht="15.75" customHeight="1">
      <c r="M966" s="203"/>
      <c r="N966" s="203"/>
      <c r="O966" s="203"/>
      <c r="Z966" s="16"/>
    </row>
    <row r="967" ht="15.75" customHeight="1">
      <c r="M967" s="203"/>
      <c r="N967" s="203"/>
      <c r="O967" s="203"/>
      <c r="Z967" s="16"/>
    </row>
    <row r="968" ht="15.75" customHeight="1">
      <c r="M968" s="203"/>
      <c r="N968" s="203"/>
      <c r="O968" s="203"/>
      <c r="Z968" s="16"/>
    </row>
    <row r="969" ht="15.75" customHeight="1">
      <c r="M969" s="203"/>
      <c r="N969" s="203"/>
      <c r="O969" s="203"/>
      <c r="Z969" s="16"/>
    </row>
    <row r="970" ht="15.75" customHeight="1">
      <c r="M970" s="203"/>
      <c r="N970" s="203"/>
      <c r="O970" s="203"/>
      <c r="Z970" s="16"/>
    </row>
    <row r="971" ht="15.75" customHeight="1">
      <c r="M971" s="203"/>
      <c r="N971" s="203"/>
      <c r="O971" s="203"/>
      <c r="Z971" s="16"/>
    </row>
    <row r="972" ht="15.75" customHeight="1">
      <c r="M972" s="203"/>
      <c r="N972" s="203"/>
      <c r="O972" s="203"/>
      <c r="Z972" s="16"/>
    </row>
    <row r="973" ht="15.75" customHeight="1">
      <c r="M973" s="203"/>
      <c r="N973" s="203"/>
      <c r="O973" s="203"/>
      <c r="Z973" s="16"/>
    </row>
    <row r="974" ht="15.75" customHeight="1">
      <c r="M974" s="203"/>
      <c r="N974" s="203"/>
      <c r="O974" s="203"/>
      <c r="Z974" s="16"/>
    </row>
    <row r="975" ht="15.75" customHeight="1">
      <c r="M975" s="203"/>
      <c r="N975" s="203"/>
      <c r="O975" s="203"/>
      <c r="Z975" s="16"/>
    </row>
    <row r="976" ht="15.75" customHeight="1">
      <c r="M976" s="203"/>
      <c r="N976" s="203"/>
      <c r="O976" s="203"/>
      <c r="Z976" s="16"/>
    </row>
    <row r="977" ht="15.75" customHeight="1">
      <c r="M977" s="203"/>
      <c r="N977" s="203"/>
      <c r="O977" s="203"/>
      <c r="Z977" s="16"/>
    </row>
    <row r="978" ht="15.75" customHeight="1">
      <c r="M978" s="203"/>
      <c r="N978" s="203"/>
      <c r="O978" s="203"/>
      <c r="Z978" s="16"/>
    </row>
    <row r="979" ht="15.75" customHeight="1">
      <c r="M979" s="203"/>
      <c r="N979" s="203"/>
      <c r="O979" s="203"/>
      <c r="Z979" s="16"/>
    </row>
    <row r="980" ht="15.75" customHeight="1">
      <c r="M980" s="203"/>
      <c r="N980" s="203"/>
      <c r="O980" s="203"/>
      <c r="Z980" s="16"/>
    </row>
    <row r="981" ht="15.75" customHeight="1">
      <c r="M981" s="203"/>
      <c r="N981" s="203"/>
      <c r="O981" s="203"/>
      <c r="Z981" s="16"/>
    </row>
    <row r="982" ht="15.75" customHeight="1">
      <c r="M982" s="203"/>
      <c r="N982" s="203"/>
      <c r="O982" s="203"/>
      <c r="Z982" s="16"/>
    </row>
    <row r="983" ht="15.75" customHeight="1">
      <c r="M983" s="203"/>
      <c r="N983" s="203"/>
      <c r="O983" s="203"/>
      <c r="Z983" s="16"/>
    </row>
    <row r="984" ht="15.75" customHeight="1">
      <c r="M984" s="203"/>
      <c r="N984" s="203"/>
      <c r="O984" s="203"/>
      <c r="Z984" s="16"/>
    </row>
    <row r="985" ht="15.75" customHeight="1">
      <c r="M985" s="203"/>
      <c r="N985" s="203"/>
      <c r="O985" s="203"/>
      <c r="Z985" s="16"/>
    </row>
    <row r="986" ht="15.75" customHeight="1">
      <c r="M986" s="203"/>
      <c r="N986" s="203"/>
      <c r="O986" s="203"/>
      <c r="Z986" s="16"/>
    </row>
    <row r="987" ht="15.75" customHeight="1">
      <c r="M987" s="203"/>
      <c r="N987" s="203"/>
      <c r="O987" s="203"/>
      <c r="Z987" s="16"/>
    </row>
    <row r="988" ht="15.75" customHeight="1">
      <c r="M988" s="203"/>
      <c r="N988" s="203"/>
      <c r="O988" s="203"/>
      <c r="Z988" s="16"/>
    </row>
    <row r="989" ht="15.75" customHeight="1">
      <c r="M989" s="203"/>
      <c r="N989" s="203"/>
      <c r="O989" s="203"/>
      <c r="Z989" s="16"/>
    </row>
    <row r="990" ht="15.75" customHeight="1">
      <c r="M990" s="203"/>
      <c r="N990" s="203"/>
      <c r="O990" s="203"/>
      <c r="Z990" s="16"/>
    </row>
    <row r="991" ht="15.75" customHeight="1">
      <c r="M991" s="203"/>
      <c r="N991" s="203"/>
      <c r="O991" s="203"/>
      <c r="Z991" s="16"/>
    </row>
    <row r="992" ht="15.75" customHeight="1">
      <c r="M992" s="203"/>
      <c r="N992" s="203"/>
      <c r="O992" s="203"/>
      <c r="Z992" s="16"/>
    </row>
    <row r="993" ht="15.75" customHeight="1">
      <c r="M993" s="203"/>
      <c r="N993" s="203"/>
      <c r="O993" s="203"/>
      <c r="Z993" s="16"/>
    </row>
    <row r="994" ht="15.75" customHeight="1">
      <c r="M994" s="203"/>
      <c r="N994" s="203"/>
      <c r="O994" s="203"/>
      <c r="Z994" s="16"/>
    </row>
    <row r="995" ht="15.75" customHeight="1">
      <c r="M995" s="203"/>
      <c r="N995" s="203"/>
      <c r="O995" s="203"/>
      <c r="Z995" s="16"/>
    </row>
    <row r="996" ht="15.75" customHeight="1">
      <c r="M996" s="203"/>
      <c r="N996" s="203"/>
      <c r="O996" s="203"/>
      <c r="Z996" s="16"/>
    </row>
    <row r="997" ht="15.75" customHeight="1">
      <c r="M997" s="203"/>
      <c r="N997" s="203"/>
      <c r="O997" s="203"/>
      <c r="Z997" s="16"/>
    </row>
    <row r="998" ht="15.75" customHeight="1">
      <c r="M998" s="203"/>
      <c r="N998" s="203"/>
      <c r="O998" s="203"/>
      <c r="Z998" s="16"/>
    </row>
    <row r="999" ht="15.75" customHeight="1">
      <c r="M999" s="203"/>
      <c r="N999" s="203"/>
      <c r="O999" s="203"/>
      <c r="Z999" s="16"/>
    </row>
    <row r="1000" ht="15.75" customHeight="1">
      <c r="M1000" s="203"/>
      <c r="N1000" s="203"/>
      <c r="O1000" s="203"/>
      <c r="Z1000" s="16"/>
    </row>
    <row r="1001" ht="15.75" customHeight="1">
      <c r="M1001" s="203"/>
      <c r="N1001" s="203"/>
      <c r="O1001" s="203"/>
      <c r="Z1001" s="16"/>
    </row>
  </sheetData>
  <mergeCells count="21">
    <mergeCell ref="I7:I8"/>
    <mergeCell ref="J7:J8"/>
    <mergeCell ref="K7:K8"/>
    <mergeCell ref="L7:L8"/>
    <mergeCell ref="M7:M8"/>
    <mergeCell ref="P7:P8"/>
    <mergeCell ref="S7:S8"/>
    <mergeCell ref="U7:U8"/>
    <mergeCell ref="V7:V8"/>
    <mergeCell ref="W7:W8"/>
    <mergeCell ref="X7:X8"/>
    <mergeCell ref="Y7:Y8"/>
    <mergeCell ref="AA7:AA8"/>
    <mergeCell ref="B2:M2"/>
    <mergeCell ref="B3:M3"/>
    <mergeCell ref="P3:Z3"/>
    <mergeCell ref="B7:B8"/>
    <mergeCell ref="E7:E8"/>
    <mergeCell ref="G7:G8"/>
    <mergeCell ref="H7:H8"/>
    <mergeCell ref="Z7:Z8"/>
  </mergeCells>
  <hyperlinks>
    <hyperlink r:id="rId1" ref="K14"/>
    <hyperlink r:id="rId2" ref="K16"/>
    <hyperlink r:id="rId3" ref="K17"/>
    <hyperlink r:id="rId4" ref="K19"/>
    <hyperlink r:id="rId5" ref="F21"/>
  </hyperlinks>
  <printOptions horizontalCentered="1"/>
  <pageMargins bottom="0.75" footer="0.0" header="0.0" left="0.7" right="0.7" top="0.75"/>
  <pageSetup paperSize="9" orientation="portrait"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5"/>
    <col customWidth="1" min="2" max="2" width="5.5"/>
    <col customWidth="1" min="3" max="5" width="7.88"/>
    <col customWidth="1" min="6" max="6" width="29.88"/>
    <col customWidth="1" min="7" max="7" width="10.88"/>
    <col customWidth="1" min="8" max="8" width="10.5"/>
    <col customWidth="1" min="9" max="9" width="13.25"/>
    <col customWidth="1" min="10" max="10" width="30.75"/>
    <col customWidth="1" min="11" max="11" width="23.13"/>
    <col customWidth="1" min="12" max="12" width="13.13"/>
    <col customWidth="1" min="13" max="13" width="30.88"/>
    <col customWidth="1" min="14" max="14" width="19.88"/>
    <col customWidth="1" min="15" max="17" width="7.88"/>
    <col customWidth="1" min="18" max="18" width="28.25"/>
    <col customWidth="1" min="19" max="19" width="10.5"/>
    <col customWidth="1" min="20" max="20" width="10.88"/>
    <col customWidth="1" min="21" max="21" width="10.13"/>
    <col customWidth="1" min="22" max="22" width="21.5"/>
    <col customWidth="1" min="23" max="23" width="17.13"/>
    <col customWidth="1" min="24" max="24" width="11.5"/>
    <col customWidth="1" min="25" max="25" width="23.88"/>
    <col customWidth="1" min="26" max="26" width="12.5"/>
    <col customWidth="1" min="27" max="27" width="9.13"/>
    <col customWidth="1" min="28" max="34" width="12.5"/>
    <col customWidth="1" min="35" max="35" width="23.88"/>
    <col customWidth="1" min="36" max="37" width="12.5"/>
    <col customWidth="1" min="38" max="39" width="15.88"/>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6" t="s">
        <v>2</v>
      </c>
      <c r="N2" s="1"/>
      <c r="O2" s="1"/>
      <c r="P2" s="1"/>
      <c r="Q2" s="1"/>
      <c r="R2" s="1"/>
      <c r="S2" s="1"/>
      <c r="T2" s="1"/>
      <c r="U2" s="1"/>
      <c r="V2" s="1"/>
      <c r="W2" s="1"/>
      <c r="X2" s="1"/>
      <c r="Y2" s="1"/>
      <c r="Z2" s="1"/>
    </row>
    <row r="3" ht="15.75" customHeight="1">
      <c r="A3" s="1"/>
      <c r="B3" s="6" t="s">
        <v>11</v>
      </c>
      <c r="N3" s="1"/>
      <c r="O3" s="9" t="s">
        <v>14</v>
      </c>
      <c r="Z3" s="1"/>
      <c r="AA3" s="12" t="s">
        <v>15</v>
      </c>
      <c r="AL3" s="9"/>
      <c r="AM3" s="9"/>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15.75" customHeight="1">
      <c r="A6" s="1"/>
      <c r="B6" s="1"/>
      <c r="C6" s="1"/>
      <c r="D6" s="1"/>
      <c r="E6" s="1"/>
      <c r="F6" s="1"/>
      <c r="G6" s="1"/>
      <c r="H6" s="1"/>
      <c r="I6" s="1"/>
      <c r="J6" s="1"/>
      <c r="K6" s="1"/>
      <c r="L6" s="1"/>
      <c r="M6" s="1"/>
      <c r="N6" s="1" t="s">
        <v>34</v>
      </c>
      <c r="O6" s="1"/>
      <c r="P6" s="1"/>
      <c r="Q6" s="1"/>
      <c r="R6" s="1"/>
      <c r="S6" s="1"/>
      <c r="T6" s="1"/>
      <c r="U6" s="1"/>
      <c r="V6" s="1"/>
      <c r="W6" s="1"/>
      <c r="X6" s="1"/>
      <c r="Y6" s="1"/>
      <c r="Z6" s="1"/>
    </row>
    <row r="7" ht="15.75" customHeight="1">
      <c r="A7" s="15"/>
      <c r="B7" s="19" t="s">
        <v>28</v>
      </c>
      <c r="C7" s="20" t="s">
        <v>35</v>
      </c>
      <c r="D7" s="21" t="s">
        <v>35</v>
      </c>
      <c r="E7" s="22" t="s">
        <v>36</v>
      </c>
      <c r="F7" s="23" t="s">
        <v>37</v>
      </c>
      <c r="G7" s="22" t="s">
        <v>38</v>
      </c>
      <c r="H7" s="22" t="s">
        <v>39</v>
      </c>
      <c r="I7" s="22" t="s">
        <v>40</v>
      </c>
      <c r="J7" s="22" t="s">
        <v>41</v>
      </c>
      <c r="K7" s="22" t="s">
        <v>42</v>
      </c>
      <c r="L7" s="22" t="s">
        <v>43</v>
      </c>
      <c r="M7" s="22" t="s">
        <v>44</v>
      </c>
      <c r="N7" s="30">
        <f>NOW()</f>
        <v>46301.60482</v>
      </c>
      <c r="O7" s="21" t="s">
        <v>35</v>
      </c>
      <c r="P7" s="21" t="s">
        <v>35</v>
      </c>
      <c r="Q7" s="22" t="s">
        <v>36</v>
      </c>
      <c r="R7" s="23" t="s">
        <v>37</v>
      </c>
      <c r="S7" s="22" t="s">
        <v>38</v>
      </c>
      <c r="T7" s="22" t="s">
        <v>39</v>
      </c>
      <c r="U7" s="22" t="s">
        <v>40</v>
      </c>
      <c r="V7" s="22" t="s">
        <v>41</v>
      </c>
      <c r="W7" s="22" t="s">
        <v>42</v>
      </c>
      <c r="X7" s="22" t="s">
        <v>43</v>
      </c>
      <c r="Y7" s="22" t="s">
        <v>44</v>
      </c>
      <c r="Z7" s="1"/>
      <c r="AA7" s="22" t="s">
        <v>28</v>
      </c>
      <c r="AB7" s="24" t="s">
        <v>35</v>
      </c>
      <c r="AC7" s="24" t="s">
        <v>35</v>
      </c>
      <c r="AD7" s="25" t="s">
        <v>36</v>
      </c>
      <c r="AE7" s="26" t="s">
        <v>37</v>
      </c>
      <c r="AF7" s="22" t="s">
        <v>38</v>
      </c>
      <c r="AG7" s="22" t="s">
        <v>39</v>
      </c>
      <c r="AH7" s="22" t="s">
        <v>40</v>
      </c>
      <c r="AI7" s="22" t="s">
        <v>41</v>
      </c>
      <c r="AJ7" s="22" t="s">
        <v>42</v>
      </c>
      <c r="AK7" s="22" t="s">
        <v>43</v>
      </c>
      <c r="AL7" s="22" t="s">
        <v>44</v>
      </c>
      <c r="AM7" s="41"/>
    </row>
    <row r="8" ht="15.75" customHeight="1">
      <c r="A8" s="15"/>
      <c r="B8" s="32"/>
      <c r="C8" s="33" t="s">
        <v>45</v>
      </c>
      <c r="D8" s="35" t="s">
        <v>46</v>
      </c>
      <c r="E8" s="31"/>
      <c r="F8" s="34">
        <v>46333.0</v>
      </c>
      <c r="G8" s="31"/>
      <c r="H8" s="31"/>
      <c r="I8" s="31"/>
      <c r="J8" s="31"/>
      <c r="K8" s="31"/>
      <c r="L8" s="31"/>
      <c r="M8" s="31"/>
      <c r="N8" s="45"/>
      <c r="O8" s="37" t="s">
        <v>45</v>
      </c>
      <c r="P8" s="35" t="s">
        <v>46</v>
      </c>
      <c r="Q8" s="31"/>
      <c r="R8" s="34">
        <v>46333.0</v>
      </c>
      <c r="S8" s="31"/>
      <c r="T8" s="31"/>
      <c r="U8" s="31"/>
      <c r="V8" s="31"/>
      <c r="W8" s="31"/>
      <c r="X8" s="31"/>
      <c r="Y8" s="31"/>
      <c r="Z8" s="1"/>
      <c r="AA8" s="31"/>
      <c r="AB8" s="24" t="s">
        <v>45</v>
      </c>
      <c r="AC8" s="24" t="s">
        <v>46</v>
      </c>
      <c r="AD8" s="31"/>
      <c r="AE8" s="36">
        <v>46333.0</v>
      </c>
      <c r="AF8" s="31"/>
      <c r="AG8" s="31"/>
      <c r="AH8" s="31"/>
      <c r="AI8" s="31"/>
      <c r="AJ8" s="31"/>
      <c r="AK8" s="31"/>
      <c r="AL8" s="31"/>
      <c r="AM8" s="41"/>
    </row>
    <row r="9" ht="15.75" customHeight="1">
      <c r="A9" s="15"/>
      <c r="B9" s="40"/>
      <c r="C9" s="39">
        <v>0.375</v>
      </c>
      <c r="D9" s="39">
        <f>+C9+E9</f>
        <v>0.4166666667</v>
      </c>
      <c r="E9" s="39">
        <v>0.041666666666666664</v>
      </c>
      <c r="F9" s="43" t="s">
        <v>47</v>
      </c>
      <c r="G9" s="46" t="s">
        <v>48</v>
      </c>
      <c r="H9" s="46" t="s">
        <v>49</v>
      </c>
      <c r="I9" s="46" t="s">
        <v>50</v>
      </c>
      <c r="J9" s="48"/>
      <c r="K9" s="48"/>
      <c r="L9" s="49" t="s">
        <v>52</v>
      </c>
      <c r="M9" s="48"/>
      <c r="N9" s="45"/>
      <c r="O9" s="57">
        <v>0.4166666666666667</v>
      </c>
      <c r="P9" s="57">
        <f>+O9+Q9</f>
        <v>0.5</v>
      </c>
      <c r="Q9" s="57">
        <v>0.08333333333333333</v>
      </c>
      <c r="R9" s="62" t="s">
        <v>61</v>
      </c>
      <c r="S9" s="64" t="s">
        <v>64</v>
      </c>
      <c r="T9" s="66" t="s">
        <v>67</v>
      </c>
      <c r="U9" s="66" t="s">
        <v>68</v>
      </c>
      <c r="V9" s="68" t="s">
        <v>70</v>
      </c>
      <c r="W9" s="71"/>
      <c r="X9" s="72" t="s">
        <v>74</v>
      </c>
      <c r="Y9" s="68" t="s">
        <v>77</v>
      </c>
      <c r="Z9" s="1"/>
      <c r="AA9" s="50"/>
      <c r="AB9" s="76">
        <v>0.4166666666666667</v>
      </c>
      <c r="AC9" s="42">
        <f t="shared" ref="AC9:AC14" si="1">+AD9+AB9</f>
        <v>0.4583333333</v>
      </c>
      <c r="AD9" s="42">
        <v>0.041666666666666664</v>
      </c>
      <c r="AE9" s="44" t="s">
        <v>47</v>
      </c>
      <c r="AF9" s="47" t="s">
        <v>48</v>
      </c>
      <c r="AG9" s="47" t="s">
        <v>51</v>
      </c>
      <c r="AH9" s="47" t="s">
        <v>50</v>
      </c>
      <c r="AI9" s="44"/>
      <c r="AJ9" s="38"/>
      <c r="AK9" s="44" t="s">
        <v>52</v>
      </c>
      <c r="AL9" s="55"/>
      <c r="AM9" s="99"/>
    </row>
    <row r="10" ht="149.25" customHeight="1">
      <c r="A10" s="15"/>
      <c r="B10" s="40"/>
      <c r="C10" s="39">
        <f t="shared" ref="C10:C18" si="2">D9</f>
        <v>0.4166666667</v>
      </c>
      <c r="D10" s="39">
        <f t="shared" ref="D10:D18" si="3">+E10+C10</f>
        <v>0.4201388889</v>
      </c>
      <c r="E10" s="39">
        <v>0.003472222222222222</v>
      </c>
      <c r="F10" s="43" t="s">
        <v>88</v>
      </c>
      <c r="G10" s="107" t="s">
        <v>96</v>
      </c>
      <c r="H10" s="47" t="s">
        <v>55</v>
      </c>
      <c r="I10" s="47" t="s">
        <v>90</v>
      </c>
      <c r="J10" s="44" t="s">
        <v>101</v>
      </c>
      <c r="K10" s="43" t="s">
        <v>80</v>
      </c>
      <c r="L10" s="43" t="s">
        <v>102</v>
      </c>
      <c r="M10" s="48"/>
      <c r="N10" s="45"/>
      <c r="O10" s="57">
        <f t="shared" ref="O10:O11" si="4">P9</f>
        <v>0.5</v>
      </c>
      <c r="P10" s="57">
        <f t="shared" ref="P10:P11" si="5">+Q10+O10</f>
        <v>0.5034722222</v>
      </c>
      <c r="Q10" s="57">
        <v>0.003472222222222222</v>
      </c>
      <c r="R10" s="62" t="s">
        <v>105</v>
      </c>
      <c r="S10" s="64" t="s">
        <v>64</v>
      </c>
      <c r="T10" s="66" t="s">
        <v>67</v>
      </c>
      <c r="U10" s="66" t="s">
        <v>68</v>
      </c>
      <c r="V10" s="68" t="s">
        <v>70</v>
      </c>
      <c r="W10" s="71"/>
      <c r="X10" s="62" t="s">
        <v>109</v>
      </c>
      <c r="Y10" s="62"/>
      <c r="Z10" s="1"/>
      <c r="AA10" s="50"/>
      <c r="AB10" s="42">
        <f t="shared" ref="AB10:AB14" si="6">AC9</f>
        <v>0.4583333333</v>
      </c>
      <c r="AC10" s="42">
        <f t="shared" si="1"/>
        <v>0.625</v>
      </c>
      <c r="AD10" s="52">
        <v>0.16666666666666666</v>
      </c>
      <c r="AE10" s="54" t="s">
        <v>117</v>
      </c>
      <c r="AF10" s="47" t="s">
        <v>48</v>
      </c>
      <c r="AG10" s="47" t="s">
        <v>55</v>
      </c>
      <c r="AH10" s="63" t="s">
        <v>50</v>
      </c>
      <c r="AI10" s="54" t="s">
        <v>118</v>
      </c>
      <c r="AJ10" s="67" t="s">
        <v>120</v>
      </c>
      <c r="AK10" s="67" t="s">
        <v>124</v>
      </c>
      <c r="AL10" s="126" t="s">
        <v>126</v>
      </c>
      <c r="AM10" s="128" t="s">
        <v>127</v>
      </c>
    </row>
    <row r="11" ht="15.75" customHeight="1">
      <c r="A11" s="15"/>
      <c r="B11" s="40"/>
      <c r="C11" s="39">
        <f t="shared" si="2"/>
        <v>0.4201388889</v>
      </c>
      <c r="D11" s="42">
        <f t="shared" si="3"/>
        <v>0.4236111111</v>
      </c>
      <c r="E11" s="42">
        <v>0.003472222222222222</v>
      </c>
      <c r="F11" s="43" t="s">
        <v>60</v>
      </c>
      <c r="G11" s="107" t="s">
        <v>48</v>
      </c>
      <c r="H11" s="47" t="s">
        <v>49</v>
      </c>
      <c r="I11" s="47" t="s">
        <v>50</v>
      </c>
      <c r="J11" s="44" t="s">
        <v>73</v>
      </c>
      <c r="K11" s="48"/>
      <c r="L11" s="49" t="s">
        <v>52</v>
      </c>
      <c r="M11" s="48"/>
      <c r="N11" s="45"/>
      <c r="O11" s="137">
        <f t="shared" si="4"/>
        <v>0.5034722222</v>
      </c>
      <c r="P11" s="137">
        <f t="shared" si="5"/>
        <v>0.5416666667</v>
      </c>
      <c r="Q11" s="147">
        <v>0.03819444444444445</v>
      </c>
      <c r="R11" s="148" t="s">
        <v>119</v>
      </c>
      <c r="S11" s="150"/>
      <c r="T11" s="151"/>
      <c r="U11" s="151"/>
      <c r="V11" s="153"/>
      <c r="W11" s="155"/>
      <c r="X11" s="157"/>
      <c r="Y11" s="148"/>
      <c r="Z11" s="1"/>
      <c r="AA11" s="159"/>
      <c r="AB11" s="120">
        <f t="shared" si="6"/>
        <v>0.625</v>
      </c>
      <c r="AC11" s="120">
        <f t="shared" si="1"/>
        <v>0.6388888889</v>
      </c>
      <c r="AD11" s="119">
        <v>0.013888888888888888</v>
      </c>
      <c r="AE11" s="122" t="s">
        <v>119</v>
      </c>
      <c r="AF11" s="123" t="s">
        <v>48</v>
      </c>
      <c r="AG11" s="123" t="s">
        <v>55</v>
      </c>
      <c r="AH11" s="124" t="s">
        <v>50</v>
      </c>
      <c r="AI11" s="125" t="s">
        <v>53</v>
      </c>
      <c r="AJ11" s="127"/>
      <c r="AK11" s="129" t="s">
        <v>52</v>
      </c>
      <c r="AL11" s="130" t="s">
        <v>128</v>
      </c>
      <c r="AM11" s="166" t="s">
        <v>24</v>
      </c>
    </row>
    <row r="12" ht="15.75" customHeight="1">
      <c r="A12" s="15"/>
      <c r="B12" s="145"/>
      <c r="C12" s="91">
        <f t="shared" si="2"/>
        <v>0.4236111111</v>
      </c>
      <c r="D12" s="91">
        <f t="shared" si="3"/>
        <v>0.5277777778</v>
      </c>
      <c r="E12" s="91">
        <v>0.10416666666666667</v>
      </c>
      <c r="F12" s="104" t="s">
        <v>170</v>
      </c>
      <c r="G12" s="146" t="s">
        <v>144</v>
      </c>
      <c r="H12" s="98" t="s">
        <v>55</v>
      </c>
      <c r="I12" s="98" t="s">
        <v>172</v>
      </c>
      <c r="J12" s="104" t="s">
        <v>174</v>
      </c>
      <c r="K12" s="44" t="s">
        <v>175</v>
      </c>
      <c r="L12" s="95" t="s">
        <v>158</v>
      </c>
      <c r="M12" s="175" t="s">
        <v>176</v>
      </c>
      <c r="N12" s="149" t="s">
        <v>153</v>
      </c>
      <c r="O12" s="177"/>
      <c r="P12" s="177"/>
      <c r="Q12" s="179"/>
      <c r="R12" s="180"/>
      <c r="S12" s="180"/>
      <c r="T12" s="177"/>
      <c r="U12" s="177"/>
      <c r="V12" s="177"/>
      <c r="W12" s="177"/>
      <c r="X12" s="179"/>
      <c r="Y12" s="180"/>
      <c r="Z12" s="1"/>
      <c r="AA12" s="50"/>
      <c r="AB12" s="42">
        <f t="shared" si="6"/>
        <v>0.6388888889</v>
      </c>
      <c r="AC12" s="42">
        <f t="shared" si="1"/>
        <v>0.75</v>
      </c>
      <c r="AD12" s="52">
        <v>0.1111111111111111</v>
      </c>
      <c r="AE12" s="100" t="s">
        <v>92</v>
      </c>
      <c r="AF12" s="47"/>
      <c r="AG12" s="47"/>
      <c r="AH12" s="63"/>
      <c r="AI12" s="54"/>
      <c r="AJ12" s="67"/>
      <c r="AK12" s="54" t="s">
        <v>184</v>
      </c>
      <c r="AL12" s="126" t="s">
        <v>186</v>
      </c>
      <c r="AM12" s="128"/>
    </row>
    <row r="13" ht="15.75" customHeight="1">
      <c r="A13" s="15"/>
      <c r="B13" s="135"/>
      <c r="C13" s="120">
        <f t="shared" si="2"/>
        <v>0.5277777778</v>
      </c>
      <c r="D13" s="120">
        <f t="shared" si="3"/>
        <v>0.5416666667</v>
      </c>
      <c r="E13" s="120">
        <v>0.013888888888888888</v>
      </c>
      <c r="F13" s="122" t="s">
        <v>159</v>
      </c>
      <c r="G13" s="188"/>
      <c r="H13" s="135"/>
      <c r="I13" s="135"/>
      <c r="J13" s="135"/>
      <c r="K13" s="135"/>
      <c r="L13" s="135"/>
      <c r="M13" s="122" t="s">
        <v>190</v>
      </c>
      <c r="N13" s="93" t="s">
        <v>192</v>
      </c>
      <c r="O13" s="189"/>
      <c r="P13" s="189"/>
      <c r="Q13" s="190"/>
      <c r="R13" s="31"/>
      <c r="S13" s="31"/>
      <c r="T13" s="189"/>
      <c r="U13" s="189"/>
      <c r="V13" s="189"/>
      <c r="W13" s="189"/>
      <c r="X13" s="190"/>
      <c r="Y13" s="31"/>
      <c r="Z13" s="1"/>
      <c r="AA13" s="159"/>
      <c r="AB13" s="120">
        <f t="shared" si="6"/>
        <v>0.75</v>
      </c>
      <c r="AC13" s="120">
        <f t="shared" si="1"/>
        <v>0.7638888889</v>
      </c>
      <c r="AD13" s="119">
        <v>0.013888888888888888</v>
      </c>
      <c r="AE13" s="122" t="s">
        <v>119</v>
      </c>
      <c r="AF13" s="123" t="s">
        <v>48</v>
      </c>
      <c r="AG13" s="123" t="s">
        <v>55</v>
      </c>
      <c r="AH13" s="124" t="s">
        <v>50</v>
      </c>
      <c r="AI13" s="125" t="s">
        <v>53</v>
      </c>
      <c r="AJ13" s="127"/>
      <c r="AK13" s="129" t="s">
        <v>52</v>
      </c>
      <c r="AL13" s="130" t="s">
        <v>128</v>
      </c>
      <c r="AM13" s="166"/>
    </row>
    <row r="14" ht="15.75" customHeight="1">
      <c r="A14" s="15"/>
      <c r="B14" s="183"/>
      <c r="C14" s="39">
        <f t="shared" si="2"/>
        <v>0.5416666667</v>
      </c>
      <c r="D14" s="39">
        <f t="shared" si="3"/>
        <v>0.5625</v>
      </c>
      <c r="E14" s="39">
        <v>0.020833333333333332</v>
      </c>
      <c r="F14" s="43" t="s">
        <v>195</v>
      </c>
      <c r="G14" s="90" t="s">
        <v>48</v>
      </c>
      <c r="H14" s="90" t="s">
        <v>55</v>
      </c>
      <c r="I14" s="90" t="s">
        <v>196</v>
      </c>
      <c r="J14" s="43" t="s">
        <v>197</v>
      </c>
      <c r="K14" s="48"/>
      <c r="L14" s="43" t="s">
        <v>198</v>
      </c>
      <c r="M14" s="43" t="s">
        <v>200</v>
      </c>
      <c r="N14" s="45"/>
      <c r="O14" s="39">
        <v>0.5625</v>
      </c>
      <c r="P14" s="39">
        <f>+Q14+O14</f>
        <v>0.625</v>
      </c>
      <c r="Q14" s="39">
        <v>0.0625</v>
      </c>
      <c r="R14" s="139" t="s">
        <v>201</v>
      </c>
      <c r="S14" s="90" t="s">
        <v>48</v>
      </c>
      <c r="T14" s="191" t="s">
        <v>203</v>
      </c>
      <c r="U14" s="191" t="s">
        <v>68</v>
      </c>
      <c r="V14" s="139" t="s">
        <v>70</v>
      </c>
      <c r="W14" s="48"/>
      <c r="X14" s="43" t="s">
        <v>198</v>
      </c>
      <c r="Y14" s="139" t="s">
        <v>209</v>
      </c>
      <c r="Z14" s="1"/>
      <c r="AA14" s="50"/>
      <c r="AB14" s="42">
        <f t="shared" si="6"/>
        <v>0.7638888889</v>
      </c>
      <c r="AC14" s="42">
        <f t="shared" si="1"/>
        <v>0.9166666667</v>
      </c>
      <c r="AD14" s="52">
        <v>0.1527777777777778</v>
      </c>
      <c r="AE14" s="100" t="s">
        <v>92</v>
      </c>
      <c r="AF14" s="47"/>
      <c r="AG14" s="47"/>
      <c r="AH14" s="63"/>
      <c r="AI14" s="54"/>
      <c r="AJ14" s="67"/>
      <c r="AK14" s="54" t="s">
        <v>184</v>
      </c>
      <c r="AL14" s="126" t="s">
        <v>186</v>
      </c>
      <c r="AM14" s="128"/>
    </row>
    <row r="15" ht="15.75" customHeight="1">
      <c r="A15" s="15"/>
      <c r="B15" s="103"/>
      <c r="C15" s="106">
        <f t="shared" si="2"/>
        <v>0.5625</v>
      </c>
      <c r="D15" s="106">
        <f t="shared" si="3"/>
        <v>0.7708333333</v>
      </c>
      <c r="E15" s="106">
        <v>0.20833333333333334</v>
      </c>
      <c r="F15" s="193" t="s">
        <v>211</v>
      </c>
      <c r="G15" s="112" t="s">
        <v>48</v>
      </c>
      <c r="H15" s="113" t="s">
        <v>49</v>
      </c>
      <c r="I15" s="113" t="s">
        <v>212</v>
      </c>
      <c r="J15" s="109" t="s">
        <v>213</v>
      </c>
      <c r="K15" s="115"/>
      <c r="L15" s="109" t="s">
        <v>52</v>
      </c>
      <c r="M15" s="115"/>
      <c r="N15" s="45"/>
      <c r="Z15" s="1"/>
    </row>
    <row r="16" ht="15.75" customHeight="1">
      <c r="A16" s="15"/>
      <c r="B16" s="131"/>
      <c r="C16" s="120">
        <f t="shared" si="2"/>
        <v>0.7708333333</v>
      </c>
      <c r="D16" s="120">
        <f t="shared" si="3"/>
        <v>0.7743055556</v>
      </c>
      <c r="E16" s="120">
        <v>0.003472222222222222</v>
      </c>
      <c r="F16" s="122" t="s">
        <v>119</v>
      </c>
      <c r="G16" s="132" t="s">
        <v>144</v>
      </c>
      <c r="H16" s="123" t="s">
        <v>49</v>
      </c>
      <c r="I16" s="123" t="s">
        <v>214</v>
      </c>
      <c r="J16" s="122" t="s">
        <v>160</v>
      </c>
      <c r="K16" s="135"/>
      <c r="L16" s="135"/>
      <c r="M16" s="135"/>
      <c r="N16" s="45"/>
      <c r="O16" s="45"/>
      <c r="P16" s="45"/>
      <c r="Q16" s="45"/>
      <c r="R16" s="45"/>
      <c r="S16" s="45"/>
      <c r="T16" s="45"/>
      <c r="U16" s="45"/>
      <c r="V16" s="45"/>
      <c r="W16" s="45"/>
      <c r="X16" s="45"/>
      <c r="Y16" s="45"/>
      <c r="Z16" s="1"/>
    </row>
    <row r="17" ht="15.75" customHeight="1">
      <c r="A17" s="15"/>
      <c r="B17" s="158"/>
      <c r="C17" s="160">
        <f t="shared" si="2"/>
        <v>0.7743055556</v>
      </c>
      <c r="D17" s="160">
        <f t="shared" si="3"/>
        <v>0.8159722222</v>
      </c>
      <c r="E17" s="160">
        <v>0.041666666666666664</v>
      </c>
      <c r="F17" s="161" t="s">
        <v>165</v>
      </c>
      <c r="G17" s="162" t="s">
        <v>144</v>
      </c>
      <c r="H17" s="163" t="s">
        <v>55</v>
      </c>
      <c r="I17" s="163" t="s">
        <v>50</v>
      </c>
      <c r="J17" s="165" t="s">
        <v>221</v>
      </c>
      <c r="K17" s="164"/>
      <c r="L17" s="161" t="s">
        <v>52</v>
      </c>
      <c r="M17" s="164"/>
      <c r="N17" s="45"/>
      <c r="O17" s="45"/>
      <c r="P17" s="45"/>
      <c r="Q17" s="45"/>
      <c r="R17" s="45"/>
      <c r="S17" s="45"/>
      <c r="T17" s="45"/>
      <c r="U17" s="45"/>
      <c r="V17" s="45"/>
      <c r="W17" s="45"/>
      <c r="X17" s="45"/>
      <c r="Y17" s="45"/>
      <c r="Z17" s="1"/>
    </row>
    <row r="18" ht="15.75" customHeight="1">
      <c r="A18" s="15"/>
      <c r="B18" s="40"/>
      <c r="C18" s="42">
        <f t="shared" si="2"/>
        <v>0.8159722222</v>
      </c>
      <c r="D18" s="42">
        <f t="shared" si="3"/>
        <v>0.8368055556</v>
      </c>
      <c r="E18" s="42">
        <v>0.020833333333333332</v>
      </c>
      <c r="F18" s="54" t="s">
        <v>225</v>
      </c>
      <c r="G18" s="107" t="s">
        <v>144</v>
      </c>
      <c r="H18" s="47" t="s">
        <v>55</v>
      </c>
      <c r="I18" s="47" t="s">
        <v>50</v>
      </c>
      <c r="J18" s="139" t="s">
        <v>226</v>
      </c>
      <c r="K18" s="38"/>
      <c r="L18" s="44" t="s">
        <v>102</v>
      </c>
      <c r="M18" s="38"/>
      <c r="N18" s="45"/>
      <c r="O18" s="45"/>
      <c r="P18" s="45"/>
      <c r="Q18" s="45"/>
      <c r="R18" s="45"/>
      <c r="S18" s="45"/>
      <c r="T18" s="45"/>
      <c r="U18" s="45"/>
      <c r="V18" s="45"/>
      <c r="W18" s="45"/>
      <c r="X18" s="45"/>
      <c r="Y18" s="45"/>
      <c r="Z18" s="1"/>
    </row>
    <row r="19" ht="15.75" customHeight="1">
      <c r="A19" s="15"/>
      <c r="B19" s="1"/>
      <c r="C19" s="15"/>
      <c r="D19" s="1"/>
      <c r="E19" s="1"/>
      <c r="F19" s="1"/>
      <c r="G19" s="1"/>
      <c r="H19" s="1"/>
      <c r="I19" s="1"/>
      <c r="J19" s="1"/>
      <c r="K19" s="1"/>
      <c r="L19" s="1"/>
      <c r="M19" s="1"/>
      <c r="N19" s="1"/>
      <c r="O19" s="1"/>
      <c r="P19" s="1"/>
      <c r="Q19" s="1"/>
      <c r="R19" s="1"/>
      <c r="S19" s="1"/>
      <c r="T19" s="1"/>
      <c r="U19" s="1"/>
      <c r="V19" s="1"/>
      <c r="W19" s="1"/>
      <c r="X19" s="1"/>
      <c r="Y19" s="1"/>
      <c r="Z19" s="1"/>
    </row>
    <row r="20" ht="15.75" customHeight="1">
      <c r="A20" s="15"/>
      <c r="B20" s="1"/>
      <c r="C20" s="15"/>
      <c r="D20" s="1"/>
      <c r="E20" s="1"/>
      <c r="F20" s="1"/>
      <c r="G20" s="1"/>
      <c r="H20" s="1"/>
      <c r="I20" s="1"/>
      <c r="J20" s="1"/>
      <c r="K20" s="1"/>
      <c r="L20" s="1"/>
      <c r="M20" s="1"/>
      <c r="N20" s="1"/>
      <c r="O20" s="1"/>
      <c r="P20" s="1"/>
      <c r="Q20" s="1"/>
      <c r="R20" s="1"/>
      <c r="S20" s="1"/>
      <c r="T20" s="1"/>
      <c r="U20" s="1"/>
      <c r="V20" s="1"/>
      <c r="W20" s="1"/>
      <c r="X20" s="1"/>
      <c r="Y20" s="1"/>
      <c r="Z20" s="1"/>
    </row>
    <row r="21" ht="15.75" customHeight="1">
      <c r="A21" s="15"/>
      <c r="B21" s="1"/>
      <c r="C21" s="15"/>
      <c r="D21" s="1"/>
      <c r="E21" s="1"/>
      <c r="F21" s="1"/>
      <c r="G21" s="1"/>
      <c r="H21" s="1"/>
      <c r="I21" s="1"/>
      <c r="J21" s="1"/>
      <c r="K21" s="1"/>
      <c r="L21" s="1"/>
      <c r="M21" s="1"/>
      <c r="N21" s="1"/>
      <c r="O21" s="1"/>
      <c r="P21" s="1"/>
      <c r="Q21" s="1"/>
      <c r="R21" s="1"/>
      <c r="S21" s="1"/>
      <c r="T21" s="1"/>
      <c r="U21" s="1"/>
      <c r="V21" s="1"/>
      <c r="W21" s="1"/>
      <c r="X21" s="1"/>
      <c r="Y21" s="1"/>
      <c r="Z21" s="1"/>
    </row>
    <row r="22" ht="15.75" customHeight="1">
      <c r="A22" s="15"/>
      <c r="B22" s="1"/>
      <c r="C22" s="15"/>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A7:AA8"/>
    <mergeCell ref="AD7:AD8"/>
    <mergeCell ref="AF7:AF8"/>
    <mergeCell ref="AG7:AG8"/>
    <mergeCell ref="AH7:AH8"/>
    <mergeCell ref="AI7:AI8"/>
    <mergeCell ref="AJ7:AJ8"/>
    <mergeCell ref="AK7:AK8"/>
    <mergeCell ref="AL7:AL8"/>
    <mergeCell ref="B2:M2"/>
    <mergeCell ref="B3:M3"/>
    <mergeCell ref="O3:Y3"/>
    <mergeCell ref="AA3:AK3"/>
    <mergeCell ref="B7:B8"/>
    <mergeCell ref="E7:E8"/>
    <mergeCell ref="G7:G8"/>
    <mergeCell ref="H7:H8"/>
    <mergeCell ref="I7:I8"/>
    <mergeCell ref="J7:J8"/>
    <mergeCell ref="K7:K8"/>
    <mergeCell ref="Q7:Q8"/>
    <mergeCell ref="S7:S8"/>
    <mergeCell ref="T7:T8"/>
    <mergeCell ref="U7:U8"/>
    <mergeCell ref="V7:V8"/>
    <mergeCell ref="W7:W8"/>
    <mergeCell ref="X7:X8"/>
    <mergeCell ref="Y7:Y8"/>
    <mergeCell ref="T11:T13"/>
    <mergeCell ref="U11:U13"/>
    <mergeCell ref="V11:V13"/>
    <mergeCell ref="W11:W13"/>
    <mergeCell ref="X11:X13"/>
    <mergeCell ref="Y11:Y13"/>
    <mergeCell ref="L7:L8"/>
    <mergeCell ref="M7:M8"/>
    <mergeCell ref="O11:O13"/>
    <mergeCell ref="P11:P13"/>
    <mergeCell ref="Q11:Q13"/>
    <mergeCell ref="R11:R13"/>
    <mergeCell ref="S11:S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0.5"/>
    <col customWidth="1" min="2" max="2" width="5.38"/>
    <col customWidth="1" min="3" max="5" width="7.75"/>
    <col customWidth="1" min="6" max="6" width="29.13"/>
    <col customWidth="1" min="7" max="7" width="13.13"/>
    <col customWidth="1" min="8" max="8" width="10.5"/>
    <col customWidth="1" min="9" max="9" width="11.25"/>
    <col customWidth="1" min="10" max="10" width="22.75"/>
    <col customWidth="1" min="11" max="11" width="30.25"/>
    <col customWidth="1" min="12" max="12" width="12.5"/>
    <col customWidth="1" min="13" max="13" width="26.0"/>
    <col customWidth="1" min="14" max="14" width="22.63"/>
    <col customWidth="1" min="15" max="17" width="12.5"/>
    <col customWidth="1" min="18" max="18" width="17.0"/>
    <col customWidth="1" min="19" max="19" width="21.0"/>
    <col customWidth="1" min="20" max="20" width="16.88"/>
    <col customWidth="1" min="21" max="21" width="13.75"/>
    <col customWidth="1" min="22" max="22" width="20.25"/>
    <col customWidth="1" min="23" max="23" width="15.88"/>
    <col customWidth="1" min="24" max="24" width="12.5"/>
    <col customWidth="1" min="25" max="25" width="23.0"/>
    <col customWidth="1" min="26" max="26" width="12.5"/>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6" t="s">
        <v>2</v>
      </c>
      <c r="N2" s="1"/>
      <c r="O2" s="1"/>
      <c r="P2" s="1"/>
      <c r="Q2" s="1"/>
      <c r="R2" s="1"/>
      <c r="S2" s="1"/>
      <c r="T2" s="1"/>
      <c r="U2" s="1"/>
      <c r="V2" s="1"/>
      <c r="W2" s="1"/>
      <c r="X2" s="1"/>
      <c r="Y2" s="1"/>
      <c r="Z2" s="1"/>
    </row>
    <row r="3" ht="15.75" customHeight="1">
      <c r="A3" s="1"/>
      <c r="B3" s="6" t="s">
        <v>11</v>
      </c>
      <c r="N3" s="1"/>
      <c r="O3" s="9" t="s">
        <v>13</v>
      </c>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15.75" customHeight="1">
      <c r="A6" s="1"/>
      <c r="B6" s="1"/>
      <c r="C6" s="1"/>
      <c r="D6" s="1"/>
      <c r="E6" s="1"/>
      <c r="F6" s="1"/>
      <c r="G6" s="1"/>
      <c r="H6" s="1"/>
      <c r="I6" s="1"/>
      <c r="J6" s="1"/>
      <c r="K6" s="1"/>
      <c r="L6" s="1"/>
      <c r="M6" s="1"/>
      <c r="N6" s="1" t="s">
        <v>23</v>
      </c>
      <c r="O6" s="1"/>
      <c r="P6" s="1"/>
      <c r="Q6" s="1"/>
      <c r="R6" s="1"/>
      <c r="S6" s="1"/>
      <c r="T6" s="1"/>
      <c r="U6" s="1"/>
      <c r="V6" s="1"/>
      <c r="W6" s="1"/>
      <c r="X6" s="1"/>
      <c r="Y6" s="1"/>
      <c r="Z6" s="1"/>
    </row>
    <row r="7" ht="15.75" customHeight="1">
      <c r="A7" s="15"/>
      <c r="B7" s="19" t="s">
        <v>28</v>
      </c>
      <c r="C7" s="20" t="s">
        <v>35</v>
      </c>
      <c r="D7" s="21" t="s">
        <v>35</v>
      </c>
      <c r="E7" s="22" t="s">
        <v>36</v>
      </c>
      <c r="F7" s="23" t="s">
        <v>37</v>
      </c>
      <c r="G7" s="22" t="s">
        <v>38</v>
      </c>
      <c r="H7" s="22" t="s">
        <v>39</v>
      </c>
      <c r="I7" s="22" t="s">
        <v>40</v>
      </c>
      <c r="J7" s="22" t="s">
        <v>41</v>
      </c>
      <c r="K7" s="22" t="s">
        <v>42</v>
      </c>
      <c r="L7" s="22" t="s">
        <v>43</v>
      </c>
      <c r="M7" s="22" t="s">
        <v>44</v>
      </c>
      <c r="N7" s="29">
        <f>NOW()</f>
        <v>46301.60482</v>
      </c>
      <c r="O7" s="21" t="s">
        <v>35</v>
      </c>
      <c r="P7" s="21" t="s">
        <v>35</v>
      </c>
      <c r="Q7" s="22" t="s">
        <v>36</v>
      </c>
      <c r="R7" s="23" t="s">
        <v>37</v>
      </c>
      <c r="S7" s="22" t="s">
        <v>38</v>
      </c>
      <c r="T7" s="22" t="s">
        <v>39</v>
      </c>
      <c r="U7" s="22" t="s">
        <v>40</v>
      </c>
      <c r="V7" s="22" t="s">
        <v>41</v>
      </c>
      <c r="W7" s="22" t="s">
        <v>42</v>
      </c>
      <c r="X7" s="22" t="s">
        <v>43</v>
      </c>
      <c r="Y7" s="22" t="s">
        <v>44</v>
      </c>
      <c r="Z7" s="1"/>
    </row>
    <row r="8" ht="15.75" customHeight="1">
      <c r="A8" s="15"/>
      <c r="B8" s="32"/>
      <c r="C8" s="33" t="s">
        <v>45</v>
      </c>
      <c r="D8" s="35" t="s">
        <v>46</v>
      </c>
      <c r="E8" s="31"/>
      <c r="F8" s="34">
        <v>46334.0</v>
      </c>
      <c r="G8" s="31"/>
      <c r="H8" s="31"/>
      <c r="I8" s="31"/>
      <c r="J8" s="31"/>
      <c r="K8" s="31"/>
      <c r="L8" s="31"/>
      <c r="M8" s="31"/>
      <c r="N8" s="1"/>
      <c r="O8" s="37" t="s">
        <v>45</v>
      </c>
      <c r="P8" s="35" t="s">
        <v>46</v>
      </c>
      <c r="Q8" s="31"/>
      <c r="R8" s="34">
        <v>46334.0</v>
      </c>
      <c r="S8" s="31"/>
      <c r="T8" s="31"/>
      <c r="U8" s="31"/>
      <c r="V8" s="31"/>
      <c r="W8" s="31"/>
      <c r="X8" s="31"/>
      <c r="Y8" s="31"/>
      <c r="Z8" s="1"/>
    </row>
    <row r="9" ht="15.75" customHeight="1">
      <c r="A9" s="15"/>
      <c r="B9" s="40"/>
      <c r="C9" s="39">
        <v>0.375</v>
      </c>
      <c r="D9" s="39">
        <f>+C9+E9</f>
        <v>0.4166666667</v>
      </c>
      <c r="E9" s="39">
        <v>0.041666666666666664</v>
      </c>
      <c r="F9" s="43" t="s">
        <v>47</v>
      </c>
      <c r="G9" s="46" t="s">
        <v>48</v>
      </c>
      <c r="H9" s="46" t="s">
        <v>49</v>
      </c>
      <c r="I9" s="46" t="s">
        <v>50</v>
      </c>
      <c r="J9" s="48"/>
      <c r="K9" s="48"/>
      <c r="L9" s="49" t="s">
        <v>52</v>
      </c>
      <c r="M9" s="48"/>
      <c r="N9" s="1"/>
      <c r="O9" s="39">
        <v>0.375</v>
      </c>
      <c r="P9" s="39">
        <f t="shared" ref="P9:P14" si="1">+O9+Q9</f>
        <v>0.4166666667</v>
      </c>
      <c r="Q9" s="39">
        <v>0.041666666666666664</v>
      </c>
      <c r="R9" s="43" t="s">
        <v>47</v>
      </c>
      <c r="S9" s="46" t="s">
        <v>48</v>
      </c>
      <c r="T9" s="46" t="s">
        <v>49</v>
      </c>
      <c r="U9" s="46" t="s">
        <v>50</v>
      </c>
      <c r="V9" s="48"/>
      <c r="W9" s="48"/>
      <c r="X9" s="49" t="s">
        <v>52</v>
      </c>
      <c r="Y9" s="48"/>
    </row>
    <row r="10" ht="15.75" customHeight="1">
      <c r="A10" s="15"/>
      <c r="B10" s="53"/>
      <c r="C10" s="56">
        <f>D9</f>
        <v>0.4166666667</v>
      </c>
      <c r="D10" s="56">
        <f>+E10+C10</f>
        <v>0.4201388889</v>
      </c>
      <c r="E10" s="56">
        <v>0.003472222222222222</v>
      </c>
      <c r="F10" s="60" t="s">
        <v>60</v>
      </c>
      <c r="G10" s="61" t="s">
        <v>48</v>
      </c>
      <c r="H10" s="65" t="s">
        <v>63</v>
      </c>
      <c r="I10" s="69" t="s">
        <v>50</v>
      </c>
      <c r="J10" s="73" t="s">
        <v>73</v>
      </c>
      <c r="K10" s="60" t="s">
        <v>80</v>
      </c>
      <c r="L10" s="60" t="s">
        <v>52</v>
      </c>
      <c r="M10" s="80"/>
      <c r="N10" s="1"/>
      <c r="O10" s="39">
        <v>0.4166666666666667</v>
      </c>
      <c r="P10" s="39">
        <f t="shared" si="1"/>
        <v>0.4201388889</v>
      </c>
      <c r="Q10" s="76">
        <v>0.003472222222222222</v>
      </c>
      <c r="R10" s="43" t="s">
        <v>60</v>
      </c>
      <c r="S10" s="87" t="s">
        <v>48</v>
      </c>
      <c r="T10" s="89" t="s">
        <v>63</v>
      </c>
      <c r="U10" s="90" t="s">
        <v>50</v>
      </c>
      <c r="V10" s="44" t="s">
        <v>73</v>
      </c>
      <c r="W10" s="43" t="s">
        <v>80</v>
      </c>
      <c r="X10" s="43" t="s">
        <v>52</v>
      </c>
      <c r="Y10" s="48"/>
      <c r="Z10" s="93"/>
    </row>
    <row r="11" ht="60.75" customHeight="1">
      <c r="A11" s="15"/>
      <c r="B11" s="31"/>
      <c r="C11" s="31"/>
      <c r="D11" s="31"/>
      <c r="E11" s="31"/>
      <c r="F11" s="31"/>
      <c r="G11" s="96"/>
      <c r="H11" s="31"/>
      <c r="I11" s="31"/>
      <c r="J11" s="31"/>
      <c r="K11" s="31"/>
      <c r="L11" s="31"/>
      <c r="M11" s="31"/>
      <c r="N11" s="1"/>
      <c r="O11" s="76">
        <v>0.4201388888888889</v>
      </c>
      <c r="P11" s="39">
        <f t="shared" si="1"/>
        <v>0.5</v>
      </c>
      <c r="Q11" s="76">
        <v>0.0798611111111111</v>
      </c>
      <c r="R11" s="100" t="s">
        <v>92</v>
      </c>
      <c r="S11" s="87"/>
      <c r="T11" s="89"/>
      <c r="U11" s="90"/>
      <c r="V11" s="44"/>
      <c r="W11" s="43"/>
      <c r="X11" s="43"/>
      <c r="Y11" s="48"/>
      <c r="Z11" s="1"/>
    </row>
    <row r="12" ht="15.75" customHeight="1">
      <c r="A12" s="15"/>
      <c r="B12" s="103"/>
      <c r="C12" s="106">
        <f>D10</f>
        <v>0.4201388889</v>
      </c>
      <c r="D12" s="106">
        <f t="shared" ref="D12:D22" si="2">+E12+C12</f>
        <v>0.5243055556</v>
      </c>
      <c r="E12" s="106">
        <v>0.10416666666666667</v>
      </c>
      <c r="F12" s="109" t="s">
        <v>103</v>
      </c>
      <c r="G12" s="112" t="s">
        <v>96</v>
      </c>
      <c r="H12" s="113" t="s">
        <v>55</v>
      </c>
      <c r="I12" s="113" t="s">
        <v>50</v>
      </c>
      <c r="J12" s="115"/>
      <c r="K12" s="115"/>
      <c r="L12" s="117" t="s">
        <v>52</v>
      </c>
      <c r="M12" s="118" t="s">
        <v>114</v>
      </c>
      <c r="N12" s="1"/>
      <c r="O12" s="119">
        <v>0.5</v>
      </c>
      <c r="P12" s="120">
        <f t="shared" si="1"/>
        <v>0.5138888889</v>
      </c>
      <c r="Q12" s="119">
        <v>0.013888888888888888</v>
      </c>
      <c r="R12" s="122" t="s">
        <v>119</v>
      </c>
      <c r="S12" s="123" t="s">
        <v>48</v>
      </c>
      <c r="T12" s="123" t="s">
        <v>55</v>
      </c>
      <c r="U12" s="124" t="s">
        <v>50</v>
      </c>
      <c r="V12" s="125" t="s">
        <v>53</v>
      </c>
      <c r="W12" s="127"/>
      <c r="X12" s="129" t="s">
        <v>52</v>
      </c>
      <c r="Y12" s="130" t="s">
        <v>128</v>
      </c>
      <c r="Z12" s="1"/>
    </row>
    <row r="13" ht="94.5" customHeight="1">
      <c r="A13" s="15"/>
      <c r="B13" s="131"/>
      <c r="C13" s="120">
        <f t="shared" ref="C13:C22" si="3">D12</f>
        <v>0.5243055556</v>
      </c>
      <c r="D13" s="120">
        <f t="shared" si="2"/>
        <v>0.5451388889</v>
      </c>
      <c r="E13" s="120">
        <v>0.020833333333333332</v>
      </c>
      <c r="F13" s="122" t="s">
        <v>119</v>
      </c>
      <c r="G13" s="132" t="s">
        <v>48</v>
      </c>
      <c r="H13" s="134" t="s">
        <v>49</v>
      </c>
      <c r="I13" s="123" t="s">
        <v>50</v>
      </c>
      <c r="J13" s="135"/>
      <c r="K13" s="135"/>
      <c r="L13" s="135"/>
      <c r="M13" s="135"/>
      <c r="N13" s="1"/>
      <c r="O13" s="76">
        <v>0.5138888888888888</v>
      </c>
      <c r="P13" s="39">
        <f t="shared" si="1"/>
        <v>0.7083333333</v>
      </c>
      <c r="Q13" s="76">
        <v>0.19444444444444445</v>
      </c>
      <c r="R13" s="139" t="s">
        <v>134</v>
      </c>
      <c r="S13" s="87" t="s">
        <v>135</v>
      </c>
      <c r="T13" s="90" t="s">
        <v>136</v>
      </c>
      <c r="U13" s="90" t="s">
        <v>50</v>
      </c>
      <c r="V13" s="54" t="s">
        <v>118</v>
      </c>
      <c r="W13" s="142" t="s">
        <v>120</v>
      </c>
      <c r="X13" s="139" t="s">
        <v>137</v>
      </c>
      <c r="Y13" s="143" t="s">
        <v>138</v>
      </c>
      <c r="Z13" s="3"/>
    </row>
    <row r="14" ht="15.75" customHeight="1">
      <c r="A14" s="15"/>
      <c r="B14" s="145"/>
      <c r="C14" s="91">
        <f t="shared" si="3"/>
        <v>0.5451388889</v>
      </c>
      <c r="D14" s="91">
        <f t="shared" si="2"/>
        <v>0.6284722222</v>
      </c>
      <c r="E14" s="91">
        <v>0.08333333333333333</v>
      </c>
      <c r="F14" s="104" t="s">
        <v>143</v>
      </c>
      <c r="G14" s="146" t="s">
        <v>48</v>
      </c>
      <c r="H14" s="98" t="s">
        <v>147</v>
      </c>
      <c r="I14" s="98" t="s">
        <v>50</v>
      </c>
      <c r="J14" s="104" t="s">
        <v>148</v>
      </c>
      <c r="K14" s="104" t="s">
        <v>149</v>
      </c>
      <c r="L14" s="101" t="s">
        <v>150</v>
      </c>
      <c r="M14" s="104" t="s">
        <v>152</v>
      </c>
      <c r="N14" s="149" t="s">
        <v>153</v>
      </c>
      <c r="O14" s="76">
        <v>0.7083333333333334</v>
      </c>
      <c r="P14" s="39">
        <f t="shared" si="1"/>
        <v>0.9166666667</v>
      </c>
      <c r="Q14" s="76">
        <v>0.20833333333333334</v>
      </c>
      <c r="R14" s="139" t="s">
        <v>154</v>
      </c>
      <c r="S14" s="87"/>
      <c r="T14" s="90"/>
      <c r="U14" s="90"/>
      <c r="V14" s="139"/>
      <c r="W14" s="48"/>
      <c r="X14" s="49"/>
      <c r="Y14" s="143"/>
      <c r="Z14" s="1"/>
    </row>
    <row r="15" ht="15.75" customHeight="1">
      <c r="A15" s="15"/>
      <c r="B15" s="115"/>
      <c r="C15" s="106">
        <f t="shared" si="3"/>
        <v>0.6284722222</v>
      </c>
      <c r="D15" s="106">
        <f t="shared" si="2"/>
        <v>0.7118055556</v>
      </c>
      <c r="E15" s="106">
        <v>0.08333333333333333</v>
      </c>
      <c r="F15" s="109" t="s">
        <v>156</v>
      </c>
      <c r="G15" s="112" t="s">
        <v>96</v>
      </c>
      <c r="H15" s="113" t="s">
        <v>55</v>
      </c>
      <c r="I15" s="113" t="s">
        <v>90</v>
      </c>
      <c r="J15" s="152" t="s">
        <v>157</v>
      </c>
      <c r="K15" s="115"/>
      <c r="L15" s="117" t="s">
        <v>52</v>
      </c>
      <c r="M15" s="115"/>
      <c r="N15" s="1"/>
      <c r="O15" s="1"/>
      <c r="P15" s="1"/>
      <c r="Q15" s="1"/>
      <c r="R15" s="1"/>
      <c r="S15" s="1"/>
      <c r="T15" s="1"/>
      <c r="U15" s="1"/>
      <c r="V15" s="1"/>
      <c r="W15" s="1"/>
      <c r="X15" s="1"/>
      <c r="Y15" s="1"/>
      <c r="Z15" s="1"/>
    </row>
    <row r="16" ht="15.75" customHeight="1">
      <c r="A16" s="15"/>
      <c r="B16" s="131"/>
      <c r="C16" s="120">
        <f t="shared" si="3"/>
        <v>0.7118055556</v>
      </c>
      <c r="D16" s="120">
        <f t="shared" si="2"/>
        <v>0.7326388889</v>
      </c>
      <c r="E16" s="120">
        <v>0.020833333333333332</v>
      </c>
      <c r="F16" s="122" t="s">
        <v>159</v>
      </c>
      <c r="G16" s="132" t="s">
        <v>48</v>
      </c>
      <c r="H16" s="123" t="s">
        <v>49</v>
      </c>
      <c r="I16" s="123" t="s">
        <v>50</v>
      </c>
      <c r="J16" s="122" t="s">
        <v>160</v>
      </c>
      <c r="K16" s="135"/>
      <c r="L16" s="129" t="s">
        <v>52</v>
      </c>
      <c r="M16" s="135"/>
      <c r="N16" s="1"/>
      <c r="O16" s="3"/>
      <c r="P16" s="1"/>
      <c r="Q16" s="1"/>
      <c r="R16" s="1"/>
      <c r="S16" s="1"/>
      <c r="T16" s="1"/>
      <c r="U16" s="1"/>
      <c r="V16" s="1"/>
      <c r="W16" s="1"/>
      <c r="X16" s="1"/>
      <c r="Y16" s="1"/>
      <c r="Z16" s="1"/>
    </row>
    <row r="17" ht="15.75" customHeight="1">
      <c r="A17" s="15"/>
      <c r="B17" s="158"/>
      <c r="C17" s="160">
        <f t="shared" si="3"/>
        <v>0.7326388889</v>
      </c>
      <c r="D17" s="160">
        <f t="shared" si="2"/>
        <v>0.7743055556</v>
      </c>
      <c r="E17" s="160">
        <v>0.041666666666666664</v>
      </c>
      <c r="F17" s="161" t="s">
        <v>165</v>
      </c>
      <c r="G17" s="162" t="s">
        <v>48</v>
      </c>
      <c r="H17" s="163" t="s">
        <v>49</v>
      </c>
      <c r="I17" s="163" t="s">
        <v>50</v>
      </c>
      <c r="J17" s="161" t="s">
        <v>166</v>
      </c>
      <c r="K17" s="164"/>
      <c r="L17" s="165" t="s">
        <v>52</v>
      </c>
      <c r="M17" s="164"/>
      <c r="N17" s="1"/>
      <c r="O17" s="1"/>
      <c r="P17" s="1"/>
      <c r="Q17" s="1"/>
      <c r="R17" s="1"/>
      <c r="S17" s="1"/>
      <c r="T17" s="1"/>
      <c r="U17" s="1"/>
      <c r="V17" s="1"/>
      <c r="W17" s="1"/>
      <c r="X17" s="1"/>
      <c r="Y17" s="1"/>
      <c r="Z17" s="1"/>
    </row>
    <row r="18" ht="15.75" customHeight="1">
      <c r="A18" s="15"/>
      <c r="B18" s="40"/>
      <c r="C18" s="42">
        <f t="shared" si="3"/>
        <v>0.7743055556</v>
      </c>
      <c r="D18" s="42">
        <f t="shared" si="2"/>
        <v>0.7777777778</v>
      </c>
      <c r="E18" s="42">
        <v>0.003472222222222222</v>
      </c>
      <c r="F18" s="139" t="s">
        <v>167</v>
      </c>
      <c r="G18" s="107" t="s">
        <v>144</v>
      </c>
      <c r="H18" s="47" t="s">
        <v>49</v>
      </c>
      <c r="I18" s="47" t="s">
        <v>50</v>
      </c>
      <c r="J18" s="48"/>
      <c r="K18" s="48"/>
      <c r="L18" s="43" t="s">
        <v>102</v>
      </c>
      <c r="M18" s="48"/>
      <c r="N18" s="1"/>
      <c r="O18" s="1"/>
      <c r="P18" s="1"/>
      <c r="Q18" s="1"/>
      <c r="R18" s="1"/>
      <c r="S18" s="1"/>
      <c r="T18" s="1"/>
      <c r="U18" s="1"/>
      <c r="V18" s="1"/>
      <c r="W18" s="1"/>
      <c r="X18" s="1"/>
      <c r="Y18" s="1"/>
      <c r="Z18" s="1"/>
    </row>
    <row r="19" ht="15.75" customHeight="1">
      <c r="A19" s="1"/>
      <c r="B19" s="40"/>
      <c r="C19" s="42">
        <f t="shared" si="3"/>
        <v>0.7777777778</v>
      </c>
      <c r="D19" s="42">
        <f t="shared" si="2"/>
        <v>0.78125</v>
      </c>
      <c r="E19" s="42">
        <v>0.003472222222222222</v>
      </c>
      <c r="F19" s="44" t="s">
        <v>169</v>
      </c>
      <c r="G19" s="107" t="s">
        <v>144</v>
      </c>
      <c r="H19" s="47" t="s">
        <v>55</v>
      </c>
      <c r="I19" s="47" t="s">
        <v>50</v>
      </c>
      <c r="J19" s="38"/>
      <c r="K19" s="38"/>
      <c r="L19" s="44" t="s">
        <v>171</v>
      </c>
      <c r="M19" s="172" t="s">
        <v>173</v>
      </c>
      <c r="N19" s="1"/>
      <c r="O19" s="1"/>
      <c r="P19" s="1"/>
      <c r="Q19" s="1"/>
      <c r="R19" s="1"/>
      <c r="S19" s="1"/>
      <c r="T19" s="1"/>
      <c r="U19" s="1"/>
      <c r="V19" s="1"/>
      <c r="W19" s="1"/>
      <c r="X19" s="1"/>
      <c r="Y19" s="1"/>
      <c r="Z19" s="1"/>
    </row>
    <row r="20" ht="15.75" customHeight="1">
      <c r="A20" s="1"/>
      <c r="B20" s="40"/>
      <c r="C20" s="42">
        <f t="shared" si="3"/>
        <v>0.78125</v>
      </c>
      <c r="D20" s="42">
        <f t="shared" si="2"/>
        <v>0.7881944444</v>
      </c>
      <c r="E20" s="52">
        <v>0.006944444444444444</v>
      </c>
      <c r="F20" s="44" t="s">
        <v>177</v>
      </c>
      <c r="G20" s="107" t="s">
        <v>144</v>
      </c>
      <c r="H20" s="47" t="s">
        <v>49</v>
      </c>
      <c r="I20" s="47" t="s">
        <v>50</v>
      </c>
      <c r="J20" s="181"/>
      <c r="K20" s="38"/>
      <c r="L20" s="49" t="s">
        <v>171</v>
      </c>
      <c r="M20" s="44"/>
      <c r="N20" s="149"/>
      <c r="O20" s="1"/>
      <c r="P20" s="1"/>
      <c r="Q20" s="1"/>
      <c r="R20" s="1"/>
      <c r="S20" s="1"/>
      <c r="T20" s="1"/>
      <c r="U20" s="1"/>
      <c r="V20" s="1"/>
      <c r="W20" s="1"/>
      <c r="X20" s="1"/>
      <c r="Y20" s="1"/>
      <c r="Z20" s="1"/>
    </row>
    <row r="21" ht="15.75" customHeight="1">
      <c r="A21" s="1"/>
      <c r="B21" s="183"/>
      <c r="C21" s="42">
        <f t="shared" si="3"/>
        <v>0.7881944444</v>
      </c>
      <c r="D21" s="42">
        <f t="shared" si="2"/>
        <v>0.8298611111</v>
      </c>
      <c r="E21" s="52">
        <v>0.041666666666666664</v>
      </c>
      <c r="F21" s="44" t="s">
        <v>180</v>
      </c>
      <c r="G21" s="107" t="s">
        <v>144</v>
      </c>
      <c r="H21" s="47" t="s">
        <v>55</v>
      </c>
      <c r="I21" s="47" t="s">
        <v>181</v>
      </c>
      <c r="J21" s="181" t="s">
        <v>182</v>
      </c>
      <c r="K21" s="48"/>
      <c r="L21" s="43" t="s">
        <v>102</v>
      </c>
      <c r="M21" s="44" t="s">
        <v>185</v>
      </c>
      <c r="N21" s="149" t="s">
        <v>187</v>
      </c>
      <c r="O21" s="1"/>
      <c r="P21" s="1"/>
      <c r="Q21" s="1"/>
      <c r="R21" s="1"/>
      <c r="S21" s="1"/>
      <c r="T21" s="1"/>
      <c r="U21" s="1"/>
      <c r="V21" s="1"/>
      <c r="W21" s="1"/>
      <c r="X21" s="1"/>
      <c r="Y21" s="1"/>
      <c r="Z21" s="1"/>
    </row>
    <row r="22" ht="15.75" customHeight="1">
      <c r="A22" s="1"/>
      <c r="B22" s="183"/>
      <c r="C22" s="42">
        <f t="shared" si="3"/>
        <v>0.8298611111</v>
      </c>
      <c r="D22" s="42">
        <f t="shared" si="2"/>
        <v>0.8333333333</v>
      </c>
      <c r="E22" s="42">
        <v>0.003472222222222222</v>
      </c>
      <c r="F22" s="139" t="s">
        <v>188</v>
      </c>
      <c r="G22" s="107" t="s">
        <v>48</v>
      </c>
      <c r="H22" s="47" t="s">
        <v>49</v>
      </c>
      <c r="I22" s="47" t="s">
        <v>50</v>
      </c>
      <c r="J22" s="48"/>
      <c r="K22" s="48"/>
      <c r="L22" s="43" t="s">
        <v>102</v>
      </c>
      <c r="M22" s="44" t="s">
        <v>185</v>
      </c>
      <c r="N22" s="1"/>
      <c r="O22" s="1"/>
      <c r="P22" s="1"/>
      <c r="Q22" s="1"/>
      <c r="R22" s="1"/>
      <c r="S22" s="1"/>
      <c r="T22" s="1"/>
      <c r="U22" s="1"/>
      <c r="V22" s="1"/>
      <c r="W22" s="1"/>
      <c r="X22" s="1"/>
      <c r="Y22" s="1"/>
      <c r="Z22" s="1"/>
    </row>
    <row r="23" ht="15.75" customHeight="1">
      <c r="A23" s="1"/>
      <c r="B23" s="1"/>
      <c r="C23" s="1"/>
      <c r="D23" s="1"/>
      <c r="E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O223" s="1"/>
      <c r="P223" s="1"/>
      <c r="Q223" s="1"/>
      <c r="R223" s="1"/>
      <c r="S223" s="1"/>
      <c r="T223" s="1"/>
      <c r="U223" s="1"/>
      <c r="V223" s="1"/>
      <c r="W223" s="1"/>
      <c r="X223" s="1"/>
      <c r="Y223" s="1"/>
    </row>
    <row r="224" ht="15.75" customHeight="1">
      <c r="O224" s="1"/>
      <c r="P224" s="1"/>
      <c r="Q224" s="1"/>
      <c r="R224" s="1"/>
      <c r="S224" s="1"/>
      <c r="T224" s="1"/>
      <c r="U224" s="1"/>
      <c r="V224" s="1"/>
      <c r="W224" s="1"/>
      <c r="X224" s="1"/>
      <c r="Y224" s="1"/>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2">
    <mergeCell ref="I10:I11"/>
    <mergeCell ref="J10:J11"/>
    <mergeCell ref="I7:I8"/>
    <mergeCell ref="J7:J8"/>
    <mergeCell ref="B10:B11"/>
    <mergeCell ref="C10:C11"/>
    <mergeCell ref="D10:D11"/>
    <mergeCell ref="E10:E11"/>
    <mergeCell ref="F10:F11"/>
    <mergeCell ref="K7:K8"/>
    <mergeCell ref="L7:L8"/>
    <mergeCell ref="M7:M8"/>
    <mergeCell ref="Q7:Q8"/>
    <mergeCell ref="S7:S8"/>
    <mergeCell ref="T7:T8"/>
    <mergeCell ref="U7:U8"/>
    <mergeCell ref="V7:V8"/>
    <mergeCell ref="W7:W8"/>
    <mergeCell ref="X7:X8"/>
    <mergeCell ref="B2:M2"/>
    <mergeCell ref="B3:M3"/>
    <mergeCell ref="O3:Y3"/>
    <mergeCell ref="B7:B8"/>
    <mergeCell ref="E7:E8"/>
    <mergeCell ref="G7:G8"/>
    <mergeCell ref="H7:H8"/>
    <mergeCell ref="Y7:Y8"/>
    <mergeCell ref="G10:G11"/>
    <mergeCell ref="H10:H11"/>
    <mergeCell ref="K10:K11"/>
    <mergeCell ref="L10:L11"/>
    <mergeCell ref="M10:M11"/>
  </mergeCells>
  <printOptions horizontalCentered="1"/>
  <pageMargins bottom="0.75" footer="0.0" header="0.0" left="0.7" right="0.7" top="0.75"/>
  <pageSetup fitToHeight="0" paperSize="9"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5"/>
    <col customWidth="1" min="2" max="2" width="47.88"/>
    <col customWidth="1" min="3" max="26" width="12.5"/>
  </cols>
  <sheetData>
    <row r="1" ht="15.75" customHeight="1"/>
    <row r="2" ht="15.75" customHeight="1"/>
    <row r="3" ht="15.75" customHeight="1"/>
    <row r="4" ht="15.75" customHeight="1">
      <c r="B4" s="2" t="s">
        <v>1</v>
      </c>
    </row>
    <row r="5" ht="15.75" customHeight="1">
      <c r="B5" s="4"/>
    </row>
    <row r="6" ht="15.75" customHeight="1">
      <c r="B6" s="4" t="s">
        <v>3</v>
      </c>
    </row>
    <row r="7" ht="15.75" customHeight="1">
      <c r="B7" s="5" t="s">
        <v>4</v>
      </c>
    </row>
    <row r="8" ht="15.75" customHeight="1">
      <c r="B8" s="5" t="s">
        <v>5</v>
      </c>
    </row>
    <row r="9" ht="15.75" customHeight="1">
      <c r="B9" s="5" t="s">
        <v>6</v>
      </c>
    </row>
    <row r="10" ht="15.75" customHeight="1">
      <c r="B10" s="4" t="s">
        <v>7</v>
      </c>
    </row>
    <row r="11" ht="15.75" customHeight="1">
      <c r="B11" s="4" t="s">
        <v>8</v>
      </c>
    </row>
    <row r="12" ht="15.75" customHeight="1">
      <c r="B12" s="4" t="s">
        <v>9</v>
      </c>
    </row>
    <row r="13" ht="15.75" customHeight="1">
      <c r="B13" s="4" t="s">
        <v>10</v>
      </c>
    </row>
    <row r="14" ht="15.75" customHeight="1">
      <c r="B14" s="8" t="s">
        <v>12</v>
      </c>
    </row>
    <row r="15" ht="15.75" customHeight="1">
      <c r="B15" s="10"/>
    </row>
    <row r="16" ht="15.75" customHeight="1">
      <c r="B16" s="10"/>
    </row>
    <row r="17" ht="15.75" customHeight="1">
      <c r="B17" s="13">
        <v>45976.0</v>
      </c>
    </row>
    <row r="18" ht="15.75" customHeight="1">
      <c r="B18" s="4"/>
    </row>
    <row r="19" ht="15.75" customHeight="1">
      <c r="B19" s="4" t="s">
        <v>16</v>
      </c>
    </row>
    <row r="20" ht="15.75" customHeight="1">
      <c r="B20" s="4" t="s">
        <v>17</v>
      </c>
      <c r="D20" s="14" t="s">
        <v>18</v>
      </c>
    </row>
    <row r="21" ht="15.75" customHeight="1">
      <c r="B21" s="4" t="s">
        <v>19</v>
      </c>
    </row>
    <row r="22" ht="15.75" customHeight="1">
      <c r="B22" s="4" t="s">
        <v>20</v>
      </c>
    </row>
    <row r="23" ht="15.75" customHeight="1">
      <c r="B23" s="4" t="s">
        <v>21</v>
      </c>
    </row>
    <row r="24" ht="15.75" customHeight="1">
      <c r="B24" s="4" t="s">
        <v>10</v>
      </c>
    </row>
    <row r="25" ht="15.75" customHeight="1">
      <c r="B25" s="8" t="s">
        <v>22</v>
      </c>
      <c r="C25" s="1" t="s">
        <v>24</v>
      </c>
    </row>
    <row r="26" ht="15.75" customHeight="1">
      <c r="B26" s="10"/>
    </row>
    <row r="27" ht="15.75" customHeight="1">
      <c r="B27" s="10"/>
    </row>
    <row r="28" ht="15.75" customHeight="1">
      <c r="B28" s="13">
        <v>45977.0</v>
      </c>
    </row>
    <row r="29" ht="15.75" customHeight="1">
      <c r="B29" s="4"/>
    </row>
    <row r="30" ht="15.75" customHeight="1">
      <c r="B30" s="4" t="s">
        <v>25</v>
      </c>
    </row>
    <row r="31" ht="15.75" customHeight="1">
      <c r="B31" s="4" t="s">
        <v>26</v>
      </c>
    </row>
    <row r="32" ht="15.75" customHeight="1">
      <c r="B32" s="4" t="s">
        <v>27</v>
      </c>
    </row>
    <row r="33" ht="15.75" customHeight="1">
      <c r="B33" s="4" t="s">
        <v>29</v>
      </c>
    </row>
    <row r="34" ht="15.75" customHeight="1">
      <c r="B34" s="4" t="s">
        <v>30</v>
      </c>
    </row>
    <row r="35" ht="15.75" customHeight="1">
      <c r="B35" s="4" t="s">
        <v>31</v>
      </c>
    </row>
    <row r="36" ht="15.75" customHeight="1">
      <c r="B36" s="4" t="s">
        <v>32</v>
      </c>
    </row>
    <row r="37" ht="15.75" customHeight="1">
      <c r="B37" s="8" t="s">
        <v>33</v>
      </c>
    </row>
    <row r="38" ht="15.75" customHeight="1">
      <c r="B38" s="17"/>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63"/>
    <col customWidth="1" min="2" max="2" width="27.25"/>
    <col customWidth="1" min="4" max="4" width="11.25"/>
    <col customWidth="1" min="5" max="5" width="11.5"/>
    <col customWidth="1" min="9" max="9" width="13.75"/>
  </cols>
  <sheetData>
    <row r="2">
      <c r="A2" s="74" t="s">
        <v>75</v>
      </c>
      <c r="H2" s="74" t="s">
        <v>81</v>
      </c>
    </row>
    <row r="3">
      <c r="A3" s="78">
        <v>4.5E7</v>
      </c>
      <c r="H3" s="78">
        <v>3.0E7</v>
      </c>
    </row>
    <row r="5">
      <c r="A5" s="84" t="s">
        <v>82</v>
      </c>
      <c r="B5" s="84" t="s">
        <v>83</v>
      </c>
      <c r="C5" s="84" t="s">
        <v>84</v>
      </c>
      <c r="D5" s="84" t="s">
        <v>85</v>
      </c>
      <c r="E5" s="84" t="s">
        <v>86</v>
      </c>
      <c r="H5" s="84" t="s">
        <v>82</v>
      </c>
      <c r="I5" s="84" t="s">
        <v>83</v>
      </c>
      <c r="J5" s="84" t="s">
        <v>84</v>
      </c>
      <c r="K5" s="84" t="s">
        <v>85</v>
      </c>
      <c r="L5" s="84" t="s">
        <v>86</v>
      </c>
    </row>
    <row r="6">
      <c r="A6" s="92">
        <v>1.0</v>
      </c>
      <c r="B6" s="94" t="s">
        <v>87</v>
      </c>
      <c r="C6" s="92">
        <v>100.0</v>
      </c>
      <c r="D6" s="97">
        <v>75000.0</v>
      </c>
      <c r="E6" s="102">
        <f>C6*D6</f>
        <v>7500000</v>
      </c>
      <c r="H6" s="92">
        <v>1.0</v>
      </c>
      <c r="I6" s="105" t="s">
        <v>94</v>
      </c>
      <c r="J6" s="92">
        <v>100.0</v>
      </c>
      <c r="K6" s="97">
        <v>16000.0</v>
      </c>
      <c r="L6" s="97">
        <v>0.0</v>
      </c>
    </row>
    <row r="7">
      <c r="A7" s="92">
        <v>2.0</v>
      </c>
      <c r="B7" s="105" t="s">
        <v>95</v>
      </c>
      <c r="C7" s="92">
        <v>100.0</v>
      </c>
      <c r="D7" s="97">
        <v>14000.0</v>
      </c>
      <c r="E7" s="97">
        <v>0.0</v>
      </c>
      <c r="H7" s="92">
        <v>2.0</v>
      </c>
      <c r="I7" s="94" t="s">
        <v>97</v>
      </c>
      <c r="J7" s="92">
        <v>100.0</v>
      </c>
      <c r="K7" s="97">
        <v>14000.0</v>
      </c>
      <c r="L7" s="102">
        <f t="shared" ref="L7:L14" si="1">J7*K7</f>
        <v>1400000</v>
      </c>
      <c r="M7" s="110"/>
    </row>
    <row r="8">
      <c r="A8" s="92">
        <v>3.0</v>
      </c>
      <c r="B8" s="94" t="s">
        <v>104</v>
      </c>
      <c r="C8" s="92">
        <v>100.0</v>
      </c>
      <c r="D8" s="97">
        <v>125000.0</v>
      </c>
      <c r="E8" s="102">
        <f t="shared" ref="E8:E9" si="2">C8*D8</f>
        <v>12500000</v>
      </c>
      <c r="H8" s="92">
        <v>3.0</v>
      </c>
      <c r="I8" s="94" t="s">
        <v>107</v>
      </c>
      <c r="J8" s="92">
        <v>50.0</v>
      </c>
      <c r="K8" s="97">
        <v>264000.0</v>
      </c>
      <c r="L8" s="102">
        <f t="shared" si="1"/>
        <v>13200000</v>
      </c>
    </row>
    <row r="9">
      <c r="A9" s="92">
        <v>4.0</v>
      </c>
      <c r="B9" s="94" t="s">
        <v>110</v>
      </c>
      <c r="C9" s="92">
        <v>100.0</v>
      </c>
      <c r="D9" s="97">
        <v>90000.0</v>
      </c>
      <c r="E9" s="102">
        <f t="shared" si="2"/>
        <v>9000000</v>
      </c>
      <c r="H9" s="92">
        <v>4.0</v>
      </c>
      <c r="I9" s="94" t="s">
        <v>113</v>
      </c>
      <c r="J9" s="92">
        <v>200.0</v>
      </c>
      <c r="K9" s="97">
        <v>5000.0</v>
      </c>
      <c r="L9" s="102">
        <f t="shared" si="1"/>
        <v>1000000</v>
      </c>
    </row>
    <row r="10">
      <c r="A10" s="92">
        <v>5.0</v>
      </c>
      <c r="B10" s="105" t="s">
        <v>115</v>
      </c>
      <c r="C10" s="92">
        <v>100.0</v>
      </c>
      <c r="D10" s="97">
        <v>75000.0</v>
      </c>
      <c r="E10" s="97">
        <v>0.0</v>
      </c>
      <c r="H10" s="92">
        <v>5.0</v>
      </c>
      <c r="I10" s="94" t="s">
        <v>116</v>
      </c>
      <c r="J10" s="92">
        <v>30.0</v>
      </c>
      <c r="K10" s="97">
        <v>45000.0</v>
      </c>
      <c r="L10" s="102">
        <f t="shared" si="1"/>
        <v>1350000</v>
      </c>
    </row>
    <row r="11">
      <c r="A11" s="92">
        <v>6.0</v>
      </c>
      <c r="B11" s="121" t="s">
        <v>107</v>
      </c>
      <c r="C11" s="92">
        <v>50.0</v>
      </c>
      <c r="D11" s="97">
        <v>264000.0</v>
      </c>
      <c r="E11" s="97">
        <v>0.0</v>
      </c>
      <c r="H11" s="92">
        <v>6.0</v>
      </c>
      <c r="I11" s="94" t="s">
        <v>121</v>
      </c>
      <c r="J11" s="92">
        <v>30.0</v>
      </c>
      <c r="K11" s="97">
        <v>45000.0</v>
      </c>
      <c r="L11" s="102">
        <f t="shared" si="1"/>
        <v>1350000</v>
      </c>
    </row>
    <row r="12">
      <c r="A12" s="92">
        <v>7.0</v>
      </c>
      <c r="B12" s="105" t="s">
        <v>122</v>
      </c>
      <c r="C12" s="92">
        <v>28.0</v>
      </c>
      <c r="D12" s="97">
        <v>16000.0</v>
      </c>
      <c r="E12" s="97">
        <v>0.0</v>
      </c>
      <c r="H12" s="92">
        <v>7.0</v>
      </c>
      <c r="I12" s="94"/>
      <c r="J12" s="92">
        <v>100.0</v>
      </c>
      <c r="K12" s="97"/>
      <c r="L12" s="102">
        <f t="shared" si="1"/>
        <v>0</v>
      </c>
    </row>
    <row r="13">
      <c r="A13" s="92">
        <v>8.0</v>
      </c>
      <c r="B13" s="94" t="s">
        <v>125</v>
      </c>
      <c r="C13" s="92">
        <v>28.0</v>
      </c>
      <c r="D13" s="97">
        <v>175000.0</v>
      </c>
      <c r="E13" s="102">
        <f t="shared" ref="E13:E15" si="3">C13*D13</f>
        <v>4900000</v>
      </c>
      <c r="H13" s="92">
        <v>8.0</v>
      </c>
      <c r="I13" s="94"/>
      <c r="J13" s="92">
        <v>100.0</v>
      </c>
      <c r="K13" s="97"/>
      <c r="L13" s="102">
        <f t="shared" si="1"/>
        <v>0</v>
      </c>
    </row>
    <row r="14">
      <c r="A14" s="92">
        <v>9.0</v>
      </c>
      <c r="B14" s="105" t="s">
        <v>129</v>
      </c>
      <c r="C14" s="92">
        <v>1.0</v>
      </c>
      <c r="D14" s="97">
        <v>3000000.0</v>
      </c>
      <c r="E14" s="102">
        <f t="shared" si="3"/>
        <v>3000000</v>
      </c>
      <c r="H14" s="92">
        <v>9.0</v>
      </c>
      <c r="I14" s="133"/>
      <c r="J14" s="92">
        <v>100.0</v>
      </c>
      <c r="K14" s="102"/>
      <c r="L14" s="102">
        <f t="shared" si="1"/>
        <v>0</v>
      </c>
    </row>
    <row r="15">
      <c r="A15" s="92">
        <v>10.0</v>
      </c>
      <c r="B15" s="94" t="s">
        <v>130</v>
      </c>
      <c r="C15" s="92">
        <v>28.0</v>
      </c>
      <c r="D15" s="97">
        <v>300000.0</v>
      </c>
      <c r="E15" s="102">
        <f t="shared" si="3"/>
        <v>8400000</v>
      </c>
      <c r="F15" s="138" t="s">
        <v>133</v>
      </c>
      <c r="H15" s="140"/>
      <c r="I15" s="141"/>
      <c r="J15" s="144">
        <f t="shared" ref="J15:L15" si="4">SUM(J6:J14)</f>
        <v>810</v>
      </c>
      <c r="K15" s="102">
        <f t="shared" si="4"/>
        <v>389000</v>
      </c>
      <c r="L15" s="102">
        <f t="shared" si="4"/>
        <v>18300000</v>
      </c>
    </row>
    <row r="16">
      <c r="A16" s="140"/>
      <c r="B16" s="141"/>
      <c r="C16" s="144">
        <f t="shared" ref="C16:E16" si="5">SUM(C6:C15)</f>
        <v>635</v>
      </c>
      <c r="D16" s="102">
        <f t="shared" si="5"/>
        <v>4134000</v>
      </c>
      <c r="E16" s="102">
        <f t="shared" si="5"/>
        <v>45300000</v>
      </c>
    </row>
    <row r="18">
      <c r="B18" s="3" t="s">
        <v>155</v>
      </c>
    </row>
  </sheetData>
  <mergeCells count="6">
    <mergeCell ref="A2:E2"/>
    <mergeCell ref="H2:L2"/>
    <mergeCell ref="A3:E3"/>
    <mergeCell ref="H3:L3"/>
    <mergeCell ref="H15:I15"/>
    <mergeCell ref="A16:B16"/>
  </mergeCells>
  <drawing r:id="rId1"/>
</worksheet>
</file>